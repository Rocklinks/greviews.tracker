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2555" tabRatio="600" firstSheet="0" activeTab="1" autoFilterDateGrouping="1"/>
  </bookViews>
  <sheets>
    <sheet name="Reviews" sheetId="1" state="visible" r:id="rId1"/>
    <sheet name="Daily" sheetId="2" state="visible" r:id="rId2"/>
  </sheets>
  <externalReferences>
    <externalReference r:id="rId3"/>
  </externalReferences>
  <definedNames/>
  <calcPr calcId="144525" fullCalcOnLoad="1"/>
</workbook>
</file>

<file path=xl/styles.xml><?xml version="1.0" encoding="utf-8"?>
<styleSheet xmlns="http://schemas.openxmlformats.org/spreadsheetml/2006/main">
  <numFmts count="8">
    <numFmt numFmtId="164" formatCode="&quot;₹&quot;#,##0_);[Red]&quot;(₹&quot;#,##0\)"/>
    <numFmt numFmtId="165" formatCode="dd\-mmm\-yy"/>
    <numFmt numFmtId="166" formatCode="dd\-mmm"/>
    <numFmt numFmtId="167" formatCode="_ &quot;₹&quot;* #,##0.00_ ;_ &quot;₹&quot;* \-#,##0.00_ ;_ &quot;₹&quot;* &quot;-&quot;??_ ;_ @_ "/>
    <numFmt numFmtId="168" formatCode="_ * #,##0_ ;_ * \-#,##0_ ;_ * &quot;-&quot;_ ;_ @_ "/>
    <numFmt numFmtId="169" formatCode="_ &quot;₹&quot;* #,##0_ ;_ &quot;₹&quot;* \-#,##0_ ;_ &quot;₹&quot;* &quot;-&quot;_ ;_ @_ "/>
    <numFmt numFmtId="170" formatCode="_ * #,##0.00_ ;_ * \-#,##0.00_ ;_ * &quot;-&quot;??_ ;_ @_ "/>
    <numFmt numFmtId="171" formatCode="yyyy-mm-dd h:mm:ss"/>
  </numFmts>
  <fonts count="30">
    <font>
      <name val="Calibri"/>
      <charset val="134"/>
      <color theme="1"/>
      <sz val="12"/>
      <scheme val="minor"/>
    </font>
    <font>
      <name val="Calibri"/>
      <charset val="134"/>
      <b val="1"/>
      <color theme="0"/>
      <sz val="14"/>
      <scheme val="minor"/>
    </font>
    <font>
      <name val="Calibri"/>
      <charset val="134"/>
      <b val="1"/>
      <color theme="1"/>
      <sz val="12"/>
      <scheme val="minor"/>
    </font>
    <font>
      <name val="Calibri"/>
      <charset val="134"/>
      <b val="1"/>
      <color theme="0"/>
      <sz val="12"/>
    </font>
    <font>
      <name val="Calibri"/>
      <charset val="134"/>
      <b val="1"/>
      <color theme="1"/>
      <sz val="11"/>
    </font>
    <font>
      <name val="Calibri"/>
      <charset val="134"/>
      <b val="1"/>
      <color theme="0"/>
      <sz val="12"/>
      <scheme val="minor"/>
    </font>
    <font>
      <name val="Calibri"/>
      <charset val="134"/>
      <b val="1"/>
      <color theme="0"/>
      <sz val="11"/>
      <scheme val="minor"/>
    </font>
    <font>
      <name val="Calibri"/>
      <charset val="134"/>
      <b val="1"/>
      <color theme="0"/>
      <sz val="14"/>
    </font>
    <font>
      <name val="Calibri"/>
      <charset val="134"/>
      <color rgb="FF000000"/>
      <sz val="11"/>
    </font>
    <font>
      <name val="Calibri"/>
      <charset val="134"/>
      <sz val="12"/>
      <scheme val="minor"/>
    </font>
    <font>
      <name val="Calibri"/>
      <charset val="134"/>
      <color theme="1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rgb="FF006100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FA7D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0000"/>
        <bgColor rgb="FFC0392B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4" fillId="26" borderId="0" applyAlignment="1">
      <alignment vertical="center"/>
    </xf>
    <xf numFmtId="0" fontId="13" fillId="34" borderId="0" applyAlignment="1">
      <alignment vertical="center"/>
    </xf>
    <xf numFmtId="0" fontId="14" fillId="33" borderId="0" applyAlignment="1">
      <alignment vertical="center"/>
    </xf>
    <xf numFmtId="0" fontId="14" fillId="21" borderId="0" applyAlignment="1">
      <alignment vertical="center"/>
    </xf>
    <xf numFmtId="0" fontId="13" fillId="31" borderId="0" applyAlignment="1">
      <alignment vertical="center"/>
    </xf>
    <xf numFmtId="0" fontId="13" fillId="30" borderId="0" applyAlignment="1">
      <alignment vertical="center"/>
    </xf>
    <xf numFmtId="0" fontId="14" fillId="15" borderId="0" applyAlignment="1">
      <alignment vertical="center"/>
    </xf>
    <xf numFmtId="0" fontId="14" fillId="27" borderId="0" applyAlignment="1">
      <alignment vertical="center"/>
    </xf>
    <xf numFmtId="0" fontId="13" fillId="13" borderId="0" applyAlignment="1">
      <alignment vertical="center"/>
    </xf>
    <xf numFmtId="0" fontId="14" fillId="24" borderId="0" applyAlignment="1">
      <alignment vertical="center"/>
    </xf>
    <xf numFmtId="0" fontId="29" fillId="0" borderId="12" applyAlignment="1">
      <alignment vertical="center"/>
    </xf>
    <xf numFmtId="0" fontId="13" fillId="7" borderId="0" applyAlignment="1">
      <alignment vertical="center"/>
    </xf>
    <xf numFmtId="0" fontId="14" fillId="35" borderId="0" applyAlignment="1">
      <alignment vertical="center"/>
    </xf>
    <xf numFmtId="0" fontId="14" fillId="6" borderId="0" applyAlignment="1">
      <alignment vertical="center"/>
    </xf>
    <xf numFmtId="0" fontId="13" fillId="29" borderId="0" applyAlignment="1">
      <alignment vertical="center"/>
    </xf>
    <xf numFmtId="0" fontId="13" fillId="22" borderId="0" applyAlignment="1">
      <alignment vertical="center"/>
    </xf>
    <xf numFmtId="0" fontId="14" fillId="20" borderId="0" applyAlignment="1">
      <alignment vertical="center"/>
    </xf>
    <xf numFmtId="0" fontId="13" fillId="28" borderId="0" applyAlignment="1">
      <alignment vertical="center"/>
    </xf>
    <xf numFmtId="0" fontId="13" fillId="19" borderId="0" applyAlignment="1">
      <alignment vertical="center"/>
    </xf>
    <xf numFmtId="0" fontId="14" fillId="18" borderId="0" applyAlignment="1">
      <alignment vertical="center"/>
    </xf>
    <xf numFmtId="0" fontId="24" fillId="17" borderId="0" applyAlignment="1">
      <alignment vertical="center"/>
    </xf>
    <xf numFmtId="0" fontId="14" fillId="16" borderId="0" applyAlignment="1">
      <alignment vertical="center"/>
    </xf>
    <xf numFmtId="0" fontId="23" fillId="14" borderId="0" applyAlignment="1">
      <alignment vertical="center"/>
    </xf>
    <xf numFmtId="0" fontId="13" fillId="23" borderId="0" applyAlignment="1">
      <alignment vertical="center"/>
    </xf>
    <xf numFmtId="0" fontId="22" fillId="0" borderId="10" applyAlignment="1">
      <alignment vertical="center"/>
    </xf>
    <xf numFmtId="0" fontId="21" fillId="10" borderId="9" applyAlignment="1">
      <alignment vertical="center"/>
    </xf>
    <xf numFmtId="167" fontId="10" fillId="0" borderId="0" applyAlignment="1">
      <alignment vertical="center"/>
    </xf>
    <xf numFmtId="0" fontId="13" fillId="9" borderId="0" applyAlignment="1">
      <alignment vertical="center"/>
    </xf>
    <xf numFmtId="0" fontId="10" fillId="25" borderId="11" applyAlignment="1">
      <alignment vertical="center"/>
    </xf>
    <xf numFmtId="0" fontId="20" fillId="12" borderId="6" applyAlignment="1">
      <alignment vertical="center"/>
    </xf>
    <xf numFmtId="0" fontId="19" fillId="0" borderId="0" applyAlignment="1">
      <alignment vertical="center"/>
    </xf>
    <xf numFmtId="0" fontId="17" fillId="10" borderId="6" applyAlignment="1">
      <alignment vertical="center"/>
    </xf>
    <xf numFmtId="0" fontId="16" fillId="8" borderId="0" applyAlignment="1">
      <alignment vertical="center"/>
    </xf>
    <xf numFmtId="0" fontId="19" fillId="0" borderId="8" applyAlignment="1">
      <alignment vertical="center"/>
    </xf>
    <xf numFmtId="0" fontId="25" fillId="0" borderId="0" applyAlignment="1">
      <alignment vertical="center"/>
    </xf>
    <xf numFmtId="0" fontId="15" fillId="0" borderId="5" applyAlignment="1">
      <alignment vertical="center"/>
    </xf>
    <xf numFmtId="168" fontId="10" fillId="0" borderId="0" applyAlignment="1">
      <alignment vertical="center"/>
    </xf>
    <xf numFmtId="0" fontId="13" fillId="5" borderId="0" applyAlignment="1">
      <alignment vertical="center"/>
    </xf>
    <xf numFmtId="0" fontId="28" fillId="0" borderId="0" applyAlignment="1">
      <alignment vertical="center"/>
    </xf>
    <xf numFmtId="169" fontId="10" fillId="0" borderId="0" applyAlignment="1">
      <alignment vertical="center"/>
    </xf>
    <xf numFmtId="0" fontId="27" fillId="0" borderId="0" applyAlignment="1">
      <alignment vertical="center"/>
    </xf>
    <xf numFmtId="0" fontId="12" fillId="0" borderId="0" applyAlignment="1">
      <alignment vertical="center"/>
    </xf>
    <xf numFmtId="0" fontId="11" fillId="0" borderId="5" applyAlignment="1">
      <alignment vertical="center"/>
    </xf>
    <xf numFmtId="170" fontId="10" fillId="0" borderId="0" applyAlignment="1">
      <alignment vertical="center"/>
    </xf>
    <xf numFmtId="0" fontId="18" fillId="11" borderId="7" applyAlignment="1">
      <alignment vertical="center"/>
    </xf>
    <xf numFmtId="0" fontId="14" fillId="32" borderId="0" applyAlignment="1">
      <alignment vertical="center"/>
    </xf>
    <xf numFmtId="9" fontId="10" fillId="0" borderId="0" applyAlignment="1">
      <alignment vertical="center"/>
    </xf>
    <xf numFmtId="0" fontId="26" fillId="0" borderId="0" applyAlignment="1">
      <alignment vertical="center"/>
    </xf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wrapText="1"/>
    </xf>
    <xf numFmtId="164" fontId="4" fillId="0" borderId="4" applyAlignment="1" pivotButton="0" quotePrefix="0" xfId="0">
      <alignment horizontal="center"/>
    </xf>
    <xf numFmtId="165" fontId="5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6" fillId="4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6" fontId="0" fillId="0" borderId="1" pivotButton="0" quotePrefix="0" xfId="0"/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6" fontId="0" fillId="0" borderId="1" pivotButton="0" quotePrefix="0" xfId="0"/>
    <xf numFmtId="171" fontId="0" fillId="0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164" fontId="4" fillId="0" borderId="4" applyAlignment="1" pivotButton="0" quotePrefix="0" xfId="0">
      <alignment horizont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re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views"/>
    </sheetNames>
    <sheetDataSet>
      <sheetData sheetId="0">
        <row r="1">
          <cell r="C1" t="str">
            <v>Overall Reviews</v>
          </cell>
        </row>
        <row r="2">
          <cell r="C2">
            <v>7064</v>
          </cell>
        </row>
        <row r="3">
          <cell r="C3">
            <v>6386</v>
          </cell>
        </row>
        <row r="4">
          <cell r="C4">
            <v>1250</v>
          </cell>
        </row>
        <row r="5">
          <cell r="C5">
            <v>397</v>
          </cell>
        </row>
        <row r="6">
          <cell r="C6">
            <v>1111</v>
          </cell>
        </row>
        <row r="7">
          <cell r="C7">
            <v>2009</v>
          </cell>
        </row>
        <row r="8">
          <cell r="C8">
            <v>4292</v>
          </cell>
        </row>
        <row r="9">
          <cell r="C9">
            <v>1170</v>
          </cell>
        </row>
        <row r="10">
          <cell r="C10">
            <v>922</v>
          </cell>
        </row>
        <row r="11">
          <cell r="C11">
            <v>725</v>
          </cell>
        </row>
        <row r="12">
          <cell r="C12">
            <v>3142</v>
          </cell>
        </row>
        <row r="13">
          <cell r="C13">
            <v>1131</v>
          </cell>
        </row>
        <row r="14">
          <cell r="C14">
            <v>1118</v>
          </cell>
        </row>
        <row r="15">
          <cell r="C15">
            <v>286</v>
          </cell>
        </row>
        <row r="16">
          <cell r="C16">
            <v>423</v>
          </cell>
        </row>
        <row r="17">
          <cell r="C17">
            <v>347</v>
          </cell>
        </row>
        <row r="18">
          <cell r="C18">
            <v>751</v>
          </cell>
        </row>
        <row r="19">
          <cell r="C19">
            <v>2452</v>
          </cell>
        </row>
        <row r="20">
          <cell r="C20">
            <v>2397</v>
          </cell>
        </row>
        <row r="21">
          <cell r="C21">
            <v>1152</v>
          </cell>
        </row>
        <row r="22">
          <cell r="C22">
            <v>667</v>
          </cell>
        </row>
        <row r="23">
          <cell r="C23">
            <v>612</v>
          </cell>
        </row>
        <row r="24">
          <cell r="C24">
            <v>971</v>
          </cell>
        </row>
        <row r="25">
          <cell r="C25">
            <v>1010</v>
          </cell>
        </row>
        <row r="26">
          <cell r="C26">
            <v>991</v>
          </cell>
        </row>
        <row r="27">
          <cell r="C27">
            <v>6137</v>
          </cell>
        </row>
        <row r="28">
          <cell r="C28">
            <v>3949</v>
          </cell>
        </row>
        <row r="29">
          <cell r="C29">
            <v>2249</v>
          </cell>
        </row>
        <row r="30">
          <cell r="C30">
            <v>1012</v>
          </cell>
        </row>
        <row r="31">
          <cell r="C31">
            <v>710</v>
          </cell>
        </row>
        <row r="32">
          <cell r="C32">
            <v>2096</v>
          </cell>
        </row>
        <row r="33">
          <cell r="C33">
            <v>2124</v>
          </cell>
        </row>
        <row r="34">
          <cell r="C34">
            <v>1728</v>
          </cell>
        </row>
        <row r="35">
          <cell r="C35">
            <v>2045</v>
          </cell>
        </row>
        <row r="36">
          <cell r="C36">
            <v>958</v>
          </cell>
        </row>
        <row r="37">
          <cell r="C37">
            <v>1213</v>
          </cell>
        </row>
        <row r="38">
          <cell r="C38" t="str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AH41"/>
  <sheetViews>
    <sheetView zoomScale="60" zoomScaleNormal="60" workbookViewId="0">
      <selection activeCell="AG4" sqref="AG4:AG39"/>
    </sheetView>
  </sheetViews>
  <sheetFormatPr baseColWidth="8" defaultColWidth="9" defaultRowHeight="15.75"/>
  <cols>
    <col width="16.625" customWidth="1" min="1" max="1"/>
    <col width="10.875" customWidth="1" min="2" max="2"/>
    <col width="14.525" customWidth="1" min="3" max="3"/>
    <col width="15.875" customWidth="1" min="4" max="4"/>
    <col width="0.833333333333333" customWidth="1" min="5" max="5"/>
    <col hidden="1" width="9.25" customWidth="1" min="6" max="6"/>
    <col width="11.6666666666667" customWidth="1" min="7" max="7"/>
    <col width="5.20833333333333" customWidth="1" min="8" max="8"/>
    <col width="1.04166666666667" customWidth="1" min="9" max="9"/>
    <col hidden="1" width="6.625" customWidth="1" min="10" max="12"/>
    <col hidden="1" width="17.875" customWidth="1" min="13" max="22"/>
    <col width="4.375" customWidth="1" min="23" max="23"/>
    <col width="3.375" customWidth="1" min="24" max="25"/>
    <col width="4.375" customWidth="1" min="26" max="26"/>
    <col width="3.375" customWidth="1" min="27" max="28"/>
    <col width="4.375" customWidth="1" min="29" max="29"/>
    <col width="16.6666666666667" customWidth="1" min="30" max="30"/>
  </cols>
  <sheetData>
    <row r="3" ht="22" customHeight="1">
      <c r="A3" s="3" t="inlineStr">
        <is>
          <t>Branch</t>
        </is>
      </c>
      <c r="B3" s="3" t="inlineStr">
        <is>
          <t>Star Rating</t>
        </is>
      </c>
      <c r="C3" s="3" t="inlineStr">
        <is>
          <t>Overall Reviews</t>
        </is>
      </c>
      <c r="D3" s="3" t="inlineStr">
        <is>
          <t>Monthly Reviews</t>
        </is>
      </c>
      <c r="E3" s="21" t="n">
        <v>46174</v>
      </c>
      <c r="F3" s="21" t="n">
        <v>46175</v>
      </c>
      <c r="G3" s="21" t="n">
        <v>46176</v>
      </c>
      <c r="H3" s="22" t="n">
        <v>46177</v>
      </c>
      <c r="I3" s="22" t="n">
        <v>46178</v>
      </c>
      <c r="J3" s="22" t="n">
        <v>46179</v>
      </c>
      <c r="K3" s="22" t="n">
        <v>46180</v>
      </c>
      <c r="L3" s="23" t="n">
        <v>46181</v>
      </c>
      <c r="M3" s="3" t="n">
        <v>9</v>
      </c>
      <c r="N3" s="3" t="n">
        <v>10</v>
      </c>
      <c r="O3" s="3" t="n">
        <v>11</v>
      </c>
      <c r="P3" s="3" t="n">
        <v>12</v>
      </c>
      <c r="Q3" s="3" t="n">
        <v>13</v>
      </c>
      <c r="R3" s="3" t="n">
        <v>14</v>
      </c>
      <c r="S3" s="3" t="n">
        <v>15</v>
      </c>
      <c r="T3" s="3" t="n">
        <v>16</v>
      </c>
      <c r="U3" s="3" t="n">
        <v>17</v>
      </c>
      <c r="V3" s="3" t="n">
        <v>18</v>
      </c>
      <c r="W3" s="3" t="n">
        <v>19</v>
      </c>
      <c r="X3" s="3" t="n">
        <v>20</v>
      </c>
      <c r="Y3" s="3" t="n">
        <v>21</v>
      </c>
      <c r="Z3" s="3" t="n">
        <v>22</v>
      </c>
      <c r="AA3" s="3" t="n">
        <v>23</v>
      </c>
      <c r="AB3" s="3" t="n">
        <v>24</v>
      </c>
      <c r="AC3" s="3" t="n">
        <v>25</v>
      </c>
      <c r="AD3" s="3" t="n">
        <v>26</v>
      </c>
      <c r="AE3" s="3" t="n">
        <v>27</v>
      </c>
      <c r="AF3" s="3" t="n">
        <v>28</v>
      </c>
      <c r="AG3" s="3" t="n"/>
      <c r="AH3" s="24" t="n">
        <v>46203</v>
      </c>
    </row>
    <row r="4" ht="18" customHeight="1">
      <c r="A4" s="15" t="inlineStr">
        <is>
          <t>Tuticorin-1</t>
        </is>
      </c>
      <c r="B4" s="15" t="inlineStr">
        <is>
          <t>4.9★</t>
        </is>
      </c>
      <c r="C4" s="15" t="n">
        <v>7064</v>
      </c>
      <c r="D4" s="3">
        <f>SUM(E4:AH4)</f>
        <v/>
      </c>
      <c r="E4" s="3" t="n">
        <v>20</v>
      </c>
      <c r="F4" s="3" t="n">
        <v>4</v>
      </c>
      <c r="G4" s="3" t="n">
        <v>15</v>
      </c>
      <c r="H4" s="18" t="n">
        <v>13</v>
      </c>
      <c r="I4" s="18" t="n">
        <v>13</v>
      </c>
      <c r="J4" s="18" t="n">
        <v>33</v>
      </c>
      <c r="K4" s="3" t="n">
        <v>21</v>
      </c>
      <c r="L4" s="18" t="n">
        <v>17</v>
      </c>
      <c r="M4" s="3" t="n">
        <v>19</v>
      </c>
      <c r="N4" s="3" t="n">
        <v>26</v>
      </c>
      <c r="O4" s="18" t="n">
        <v>17</v>
      </c>
      <c r="P4" s="18" t="n">
        <v>22</v>
      </c>
      <c r="Q4" s="18" t="n">
        <v>20</v>
      </c>
      <c r="R4" s="18" t="n">
        <v>24</v>
      </c>
      <c r="S4" s="18" t="n">
        <v>16</v>
      </c>
      <c r="T4" s="3" t="n">
        <v>13</v>
      </c>
      <c r="U4" s="3" t="n">
        <v>19</v>
      </c>
      <c r="V4" s="18" t="n">
        <v>8</v>
      </c>
      <c r="W4" s="18" t="n">
        <v>25</v>
      </c>
      <c r="X4" s="18" t="n">
        <v>21</v>
      </c>
      <c r="Y4" s="18" t="n">
        <v>19</v>
      </c>
      <c r="Z4" s="18" t="n">
        <v>20</v>
      </c>
      <c r="AA4" s="18" t="n">
        <v>18</v>
      </c>
      <c r="AB4" s="18" t="n">
        <v>13</v>
      </c>
      <c r="AC4" s="3" t="n">
        <v>19</v>
      </c>
      <c r="AD4" s="18" t="n">
        <v>19</v>
      </c>
      <c r="AE4" s="3" t="n">
        <v>21</v>
      </c>
      <c r="AF4" s="3" t="n">
        <v>17</v>
      </c>
      <c r="AG4" s="3" t="n">
        <v>16</v>
      </c>
      <c r="AH4" s="3" t="n">
        <v>16</v>
      </c>
    </row>
    <row r="5" ht="18" customHeight="1">
      <c r="A5" s="15" t="inlineStr">
        <is>
          <t>Tuticorin-2</t>
        </is>
      </c>
      <c r="B5" s="15" t="inlineStr">
        <is>
          <t>4.8★</t>
        </is>
      </c>
      <c r="C5" s="15" t="n">
        <v>6386</v>
      </c>
      <c r="D5" s="3">
        <f>SUM(E5:AH5)</f>
        <v/>
      </c>
      <c r="E5" s="3" t="n">
        <v>4</v>
      </c>
      <c r="F5" s="3" t="n">
        <v>3</v>
      </c>
      <c r="G5" s="3" t="n">
        <v>7</v>
      </c>
      <c r="H5" s="18" t="n">
        <v>8</v>
      </c>
      <c r="I5" s="18" t="n">
        <v>4</v>
      </c>
      <c r="J5" s="18" t="n">
        <v>7</v>
      </c>
      <c r="K5" s="3" t="n">
        <v>8</v>
      </c>
      <c r="L5" s="18" t="n">
        <v>4</v>
      </c>
      <c r="M5" s="3" t="n">
        <v>5</v>
      </c>
      <c r="N5" s="3" t="n">
        <v>7</v>
      </c>
      <c r="O5" s="18" t="n">
        <v>6</v>
      </c>
      <c r="P5" s="18" t="n">
        <v>1</v>
      </c>
      <c r="Q5" s="18" t="n">
        <v>3</v>
      </c>
      <c r="R5" s="18" t="n">
        <v>23</v>
      </c>
      <c r="S5" s="18" t="n">
        <v>13</v>
      </c>
      <c r="T5" s="3" t="n">
        <v>9</v>
      </c>
      <c r="U5" s="3" t="n">
        <v>13</v>
      </c>
      <c r="V5" s="18" t="n">
        <v>8</v>
      </c>
      <c r="W5" s="18" t="n">
        <v>8</v>
      </c>
      <c r="X5" s="18" t="n">
        <v>13</v>
      </c>
      <c r="Y5" s="18" t="n">
        <v>19</v>
      </c>
      <c r="Z5" s="18" t="n">
        <v>7</v>
      </c>
      <c r="AA5" s="18" t="n">
        <v>11</v>
      </c>
      <c r="AB5" s="18" t="n">
        <v>7</v>
      </c>
      <c r="AC5" s="3" t="n">
        <v>5</v>
      </c>
      <c r="AD5" s="18" t="n">
        <v>11</v>
      </c>
      <c r="AE5" s="3" t="n">
        <v>9</v>
      </c>
      <c r="AF5" s="3" t="n">
        <v>12</v>
      </c>
      <c r="AG5" s="3" t="n">
        <v>8</v>
      </c>
      <c r="AH5" s="3" t="n">
        <v>6</v>
      </c>
    </row>
    <row r="6" ht="18" customHeight="1">
      <c r="A6" s="15" t="inlineStr">
        <is>
          <t>Thiruchendur-1</t>
        </is>
      </c>
      <c r="B6" s="15" t="inlineStr">
        <is>
          <t>4.9★</t>
        </is>
      </c>
      <c r="C6" s="15" t="n">
        <v>1250</v>
      </c>
      <c r="D6" s="3">
        <f>SUM(E6:AH6)</f>
        <v/>
      </c>
      <c r="E6" s="3" t="n">
        <v>2</v>
      </c>
      <c r="F6" s="3" t="n">
        <v>1</v>
      </c>
      <c r="G6" s="3" t="n">
        <v>3</v>
      </c>
      <c r="H6" s="18" t="n">
        <v>3</v>
      </c>
      <c r="I6" s="18" t="n">
        <v>7</v>
      </c>
      <c r="J6" s="18" t="n">
        <v>2</v>
      </c>
      <c r="K6" s="3" t="n">
        <v>5</v>
      </c>
      <c r="L6" s="18" t="n">
        <v>2</v>
      </c>
      <c r="M6" s="3" t="n">
        <v>1</v>
      </c>
      <c r="N6" s="3" t="n">
        <v>3</v>
      </c>
      <c r="O6" s="18" t="n">
        <v>3</v>
      </c>
      <c r="P6" s="18" t="n">
        <v>4</v>
      </c>
      <c r="Q6" s="18" t="n">
        <v>2</v>
      </c>
      <c r="R6" s="18" t="n">
        <v>1</v>
      </c>
      <c r="S6" s="18" t="n">
        <v>2</v>
      </c>
      <c r="T6" s="3" t="n">
        <v>2</v>
      </c>
      <c r="U6" s="3" t="n">
        <v>2</v>
      </c>
      <c r="V6" s="18" t="n">
        <v>4</v>
      </c>
      <c r="W6" s="18" t="n">
        <v>4</v>
      </c>
      <c r="X6" s="18" t="n">
        <v>3</v>
      </c>
      <c r="Y6" s="18" t="n">
        <v>3</v>
      </c>
      <c r="Z6" s="18" t="n">
        <v>4</v>
      </c>
      <c r="AA6" s="18" t="n">
        <v>3</v>
      </c>
      <c r="AB6" s="18" t="n">
        <v>4</v>
      </c>
      <c r="AC6" s="3" t="n">
        <v>2</v>
      </c>
      <c r="AD6" s="18" t="n">
        <v>10</v>
      </c>
      <c r="AE6" s="3" t="n">
        <v>3</v>
      </c>
      <c r="AF6" s="3" t="n">
        <v>1</v>
      </c>
      <c r="AG6" s="3" t="n">
        <v>3</v>
      </c>
      <c r="AH6" s="3" t="n">
        <v>0</v>
      </c>
    </row>
    <row r="7" ht="18" customHeight="1">
      <c r="A7" s="15" t="inlineStr">
        <is>
          <t>Thisayanvilai-1</t>
        </is>
      </c>
      <c r="B7" s="15" t="inlineStr">
        <is>
          <t>5★</t>
        </is>
      </c>
      <c r="C7" s="15" t="n">
        <v>397</v>
      </c>
      <c r="D7" s="3">
        <f>SUM(E7:AH7)</f>
        <v/>
      </c>
      <c r="E7" s="3" t="n">
        <v>4</v>
      </c>
      <c r="F7" s="3" t="n">
        <v>1</v>
      </c>
      <c r="G7" s="3" t="n">
        <v>3</v>
      </c>
      <c r="H7" s="18" t="n">
        <v>3</v>
      </c>
      <c r="I7" s="18" t="n">
        <v>2</v>
      </c>
      <c r="J7" s="18" t="n">
        <v>10</v>
      </c>
      <c r="K7" s="3" t="n">
        <v>5</v>
      </c>
      <c r="L7" s="18" t="n">
        <v>1</v>
      </c>
      <c r="M7" s="3" t="n">
        <v>2</v>
      </c>
      <c r="N7" s="3" t="n">
        <v>1</v>
      </c>
      <c r="O7" s="18" t="n">
        <v>1</v>
      </c>
      <c r="P7" s="18" t="n">
        <v>1</v>
      </c>
      <c r="Q7" s="18" t="n">
        <v>2</v>
      </c>
      <c r="R7" s="18" t="n">
        <v>3</v>
      </c>
      <c r="S7" s="18" t="n">
        <v>6</v>
      </c>
      <c r="T7" s="3" t="n">
        <v>2</v>
      </c>
      <c r="U7" s="3" t="n">
        <v>3</v>
      </c>
      <c r="V7" s="18" t="n">
        <v>1</v>
      </c>
      <c r="W7" s="18" t="n">
        <v>4</v>
      </c>
      <c r="X7" s="18" t="n">
        <v>0</v>
      </c>
      <c r="Y7" s="18" t="n">
        <v>1</v>
      </c>
      <c r="Z7" s="18" t="n">
        <v>4</v>
      </c>
      <c r="AA7" s="18" t="n">
        <v>6</v>
      </c>
      <c r="AB7" s="18" t="n">
        <v>4</v>
      </c>
      <c r="AC7" s="3" t="n">
        <v>2</v>
      </c>
      <c r="AD7" s="18" t="n">
        <v>8</v>
      </c>
      <c r="AE7" s="3" t="n">
        <v>2</v>
      </c>
      <c r="AF7" s="3" t="n">
        <v>6</v>
      </c>
      <c r="AG7" s="3" t="n">
        <v>2</v>
      </c>
      <c r="AH7" s="3" t="n">
        <v>1</v>
      </c>
    </row>
    <row r="8" ht="18" customHeight="1">
      <c r="A8" s="15" t="inlineStr">
        <is>
          <t>Eral-2</t>
        </is>
      </c>
      <c r="B8" s="15" t="inlineStr">
        <is>
          <t>4.9★</t>
        </is>
      </c>
      <c r="C8" s="15" t="n">
        <v>1111</v>
      </c>
      <c r="D8" s="3">
        <f>SUM(E8:AH8)</f>
        <v/>
      </c>
      <c r="E8" s="3" t="n">
        <v>2</v>
      </c>
      <c r="F8" s="3" t="n">
        <v>4</v>
      </c>
      <c r="G8" s="3" t="n">
        <v>3</v>
      </c>
      <c r="H8" s="18" t="n">
        <v>3</v>
      </c>
      <c r="I8" s="18" t="n">
        <v>2</v>
      </c>
      <c r="J8" s="18" t="n">
        <v>6</v>
      </c>
      <c r="K8" s="3" t="n">
        <v>2</v>
      </c>
      <c r="L8" s="18" t="n">
        <v>3</v>
      </c>
      <c r="M8" s="3" t="n">
        <v>2</v>
      </c>
      <c r="N8" s="3" t="n">
        <v>1</v>
      </c>
      <c r="O8" s="18" t="n">
        <v>4</v>
      </c>
      <c r="P8" s="18" t="n">
        <v>2</v>
      </c>
      <c r="Q8" s="18" t="n">
        <v>1</v>
      </c>
      <c r="R8" s="18" t="n">
        <v>3</v>
      </c>
      <c r="S8" s="18" t="n">
        <v>4</v>
      </c>
      <c r="T8" s="3" t="n">
        <v>4</v>
      </c>
      <c r="U8" s="3" t="n">
        <v>2</v>
      </c>
      <c r="V8" s="18" t="n">
        <v>2</v>
      </c>
      <c r="W8" s="18" t="n">
        <v>3</v>
      </c>
      <c r="X8" s="18" t="n">
        <v>1</v>
      </c>
      <c r="Y8" s="18" t="n">
        <v>3</v>
      </c>
      <c r="Z8" s="18" t="n">
        <v>2</v>
      </c>
      <c r="AA8" s="18" t="n">
        <v>3</v>
      </c>
      <c r="AB8" s="18" t="n">
        <v>2</v>
      </c>
      <c r="AC8" s="3" t="n">
        <v>4</v>
      </c>
      <c r="AD8" s="18" t="n">
        <v>7</v>
      </c>
      <c r="AE8" s="3" t="n">
        <v>3</v>
      </c>
      <c r="AF8" s="3" t="n">
        <v>0</v>
      </c>
      <c r="AG8" s="3" t="n">
        <v>6</v>
      </c>
      <c r="AH8" s="3" t="n">
        <v>2</v>
      </c>
    </row>
    <row r="9" ht="18" customHeight="1">
      <c r="A9" s="15" t="inlineStr">
        <is>
          <t>Udankudi</t>
        </is>
      </c>
      <c r="B9" s="15" t="inlineStr">
        <is>
          <t>4.9★</t>
        </is>
      </c>
      <c r="C9" s="15" t="n">
        <v>2009</v>
      </c>
      <c r="D9" s="3">
        <f>SUM(E9:AH9)</f>
        <v/>
      </c>
      <c r="E9" s="3" t="n">
        <v>2</v>
      </c>
      <c r="F9" s="3" t="n">
        <v>4</v>
      </c>
      <c r="G9" s="3" t="n">
        <v>3</v>
      </c>
      <c r="H9" s="18" t="n">
        <v>4</v>
      </c>
      <c r="I9" s="18" t="n">
        <v>4</v>
      </c>
      <c r="J9" s="18" t="n">
        <v>10</v>
      </c>
      <c r="K9" s="3" t="n">
        <v>5</v>
      </c>
      <c r="L9" s="18" t="n">
        <v>1</v>
      </c>
      <c r="M9" s="3" t="n">
        <v>2</v>
      </c>
      <c r="N9" s="3" t="n">
        <v>3</v>
      </c>
      <c r="O9" s="18" t="n">
        <v>2</v>
      </c>
      <c r="P9" s="18" t="n">
        <v>3</v>
      </c>
      <c r="Q9" s="18" t="n">
        <v>3</v>
      </c>
      <c r="R9" s="18" t="n">
        <v>2</v>
      </c>
      <c r="S9" s="18" t="n">
        <v>3</v>
      </c>
      <c r="T9" s="3" t="n">
        <v>5</v>
      </c>
      <c r="U9" s="3" t="n">
        <v>3</v>
      </c>
      <c r="V9" s="18" t="n">
        <v>2</v>
      </c>
      <c r="W9" s="18" t="n">
        <v>8</v>
      </c>
      <c r="X9" s="18" t="n">
        <v>3</v>
      </c>
      <c r="Y9" s="18" t="n">
        <v>1</v>
      </c>
      <c r="Z9" s="18" t="n">
        <v>2</v>
      </c>
      <c r="AA9" s="18" t="n">
        <v>1</v>
      </c>
      <c r="AB9" s="18" t="n">
        <v>2</v>
      </c>
      <c r="AC9" s="3" t="n">
        <v>2</v>
      </c>
      <c r="AD9" s="18" t="n">
        <v>5</v>
      </c>
      <c r="AE9" s="3" t="n">
        <v>3</v>
      </c>
      <c r="AF9" s="3" t="n">
        <v>6</v>
      </c>
      <c r="AG9" s="3" t="n">
        <v>8</v>
      </c>
      <c r="AH9" s="3" t="n">
        <v>4</v>
      </c>
    </row>
    <row r="10" ht="18" customHeight="1">
      <c r="A10" s="15" t="inlineStr">
        <is>
          <t>Tirunelveli-1</t>
        </is>
      </c>
      <c r="B10" s="15" t="inlineStr">
        <is>
          <t>4.8★</t>
        </is>
      </c>
      <c r="C10" s="15" t="n">
        <v>4292</v>
      </c>
      <c r="D10" s="3">
        <f>SUM(E10:AH10)</f>
        <v/>
      </c>
      <c r="E10" s="3" t="n">
        <v>11</v>
      </c>
      <c r="F10" s="3" t="n">
        <v>9</v>
      </c>
      <c r="G10" s="3" t="n">
        <v>9</v>
      </c>
      <c r="H10" s="18" t="n">
        <v>9</v>
      </c>
      <c r="I10" s="18" t="n">
        <v>9</v>
      </c>
      <c r="J10" s="18" t="n">
        <v>19</v>
      </c>
      <c r="K10" s="3" t="n">
        <v>12</v>
      </c>
      <c r="L10" s="18" t="n">
        <v>5</v>
      </c>
      <c r="M10" s="3" t="n">
        <v>9</v>
      </c>
      <c r="N10" s="3" t="n">
        <v>12</v>
      </c>
      <c r="O10" s="18" t="n">
        <v>4</v>
      </c>
      <c r="P10" s="18" t="n">
        <v>8</v>
      </c>
      <c r="Q10" s="18" t="n">
        <v>12</v>
      </c>
      <c r="R10" s="18" t="n">
        <v>32</v>
      </c>
      <c r="S10" s="18" t="n">
        <v>2</v>
      </c>
      <c r="T10" s="3" t="n">
        <v>29</v>
      </c>
      <c r="U10" s="3" t="n">
        <v>13</v>
      </c>
      <c r="V10" s="18" t="n">
        <v>10</v>
      </c>
      <c r="W10" s="18" t="n">
        <v>8</v>
      </c>
      <c r="X10" s="18" t="n">
        <v>12</v>
      </c>
      <c r="Y10" s="18" t="n">
        <v>32</v>
      </c>
      <c r="Z10" s="18" t="n">
        <v>15</v>
      </c>
      <c r="AA10" s="18" t="n">
        <v>14</v>
      </c>
      <c r="AB10" s="18" t="n">
        <v>11</v>
      </c>
      <c r="AC10" s="3" t="n">
        <v>11</v>
      </c>
      <c r="AD10" s="18" t="n">
        <v>5</v>
      </c>
      <c r="AE10" s="3" t="n">
        <v>8</v>
      </c>
      <c r="AF10" s="3" t="n">
        <v>11</v>
      </c>
      <c r="AG10" s="3" t="n">
        <v>10</v>
      </c>
      <c r="AH10" s="3" t="n">
        <v>4</v>
      </c>
    </row>
    <row r="11" ht="18" customHeight="1">
      <c r="A11" s="15" t="inlineStr">
        <is>
          <t>Valliyur-1</t>
        </is>
      </c>
      <c r="B11" s="15" t="inlineStr">
        <is>
          <t>4.8★</t>
        </is>
      </c>
      <c r="C11" s="15" t="n">
        <v>1170</v>
      </c>
      <c r="D11" s="3">
        <f>SUM(E11:AH11)</f>
        <v/>
      </c>
      <c r="E11" s="3" t="n">
        <v>5</v>
      </c>
      <c r="F11" s="3" t="n">
        <v>4</v>
      </c>
      <c r="G11" s="3" t="n">
        <v>1</v>
      </c>
      <c r="H11" s="18" t="n">
        <v>2</v>
      </c>
      <c r="I11" s="18" t="n">
        <v>4</v>
      </c>
      <c r="J11" s="18" t="n">
        <v>1</v>
      </c>
      <c r="K11" s="3" t="n">
        <v>3</v>
      </c>
      <c r="L11" s="18" t="n">
        <v>1</v>
      </c>
      <c r="M11" s="3" t="n">
        <v>3</v>
      </c>
      <c r="N11" s="3" t="n">
        <v>6</v>
      </c>
      <c r="O11" s="18" t="n">
        <v>2</v>
      </c>
      <c r="P11" s="18" t="n">
        <v>1</v>
      </c>
      <c r="Q11" s="18" t="n">
        <v>4</v>
      </c>
      <c r="R11" s="18" t="n">
        <v>2</v>
      </c>
      <c r="S11" s="18" t="n">
        <v>4</v>
      </c>
      <c r="T11" s="3" t="n">
        <v>2</v>
      </c>
      <c r="U11" s="3" t="n">
        <v>2</v>
      </c>
      <c r="V11" s="18" t="n">
        <v>6</v>
      </c>
      <c r="W11" s="18" t="n">
        <v>3</v>
      </c>
      <c r="X11" s="18" t="n">
        <v>6</v>
      </c>
      <c r="Y11" s="18" t="n">
        <v>2</v>
      </c>
      <c r="Z11" s="18" t="n">
        <v>1</v>
      </c>
      <c r="AA11" s="18" t="n">
        <v>6</v>
      </c>
      <c r="AB11" s="18" t="n">
        <v>1</v>
      </c>
      <c r="AC11" s="3" t="n">
        <v>2</v>
      </c>
      <c r="AD11" s="18" t="n">
        <v>5</v>
      </c>
      <c r="AE11" s="3" t="n">
        <v>1</v>
      </c>
      <c r="AF11" s="3" t="n">
        <v>4</v>
      </c>
      <c r="AG11" s="3" t="n">
        <v>11</v>
      </c>
      <c r="AH11" s="3" t="n">
        <v>3</v>
      </c>
    </row>
    <row r="12" ht="18" customHeight="1">
      <c r="A12" s="15" t="inlineStr">
        <is>
          <t>Ambasamudram-1</t>
        </is>
      </c>
      <c r="B12" s="15" t="inlineStr">
        <is>
          <t>4.9★</t>
        </is>
      </c>
      <c r="C12" s="15" t="n">
        <v>922</v>
      </c>
      <c r="D12" s="3">
        <f>SUM(E12:AH12)</f>
        <v/>
      </c>
      <c r="E12" s="3" t="n">
        <v>3</v>
      </c>
      <c r="F12" s="3" t="n">
        <v>2</v>
      </c>
      <c r="G12" s="3" t="n">
        <v>12</v>
      </c>
      <c r="H12" s="18" t="n">
        <v>5</v>
      </c>
      <c r="I12" s="18" t="n">
        <v>7</v>
      </c>
      <c r="J12" s="18" t="n">
        <v>3</v>
      </c>
      <c r="K12" s="3" t="n">
        <v>4</v>
      </c>
      <c r="L12" s="18" t="n">
        <v>2</v>
      </c>
      <c r="M12" s="3" t="n">
        <v>3</v>
      </c>
      <c r="N12" s="3" t="n">
        <v>3</v>
      </c>
      <c r="O12" s="18" t="n">
        <v>1</v>
      </c>
      <c r="P12" s="18" t="n">
        <v>4</v>
      </c>
      <c r="Q12" s="18" t="n">
        <v>7</v>
      </c>
      <c r="R12" s="18" t="n">
        <v>5</v>
      </c>
      <c r="S12" s="18" t="n">
        <v>4</v>
      </c>
      <c r="T12" s="3" t="n">
        <v>2</v>
      </c>
      <c r="U12" s="3" t="n">
        <v>5</v>
      </c>
      <c r="V12" s="18" t="n">
        <v>4</v>
      </c>
      <c r="W12" s="18" t="n">
        <v>2</v>
      </c>
      <c r="X12" s="18" t="n">
        <v>4</v>
      </c>
      <c r="Y12" s="18" t="n">
        <v>5</v>
      </c>
      <c r="Z12" s="18" t="n">
        <v>2</v>
      </c>
      <c r="AA12" s="18" t="n">
        <v>1</v>
      </c>
      <c r="AB12" s="18" t="n">
        <v>4</v>
      </c>
      <c r="AC12" s="3" t="n">
        <v>5</v>
      </c>
      <c r="AD12" s="18" t="n">
        <v>5</v>
      </c>
      <c r="AE12" s="3" t="n">
        <v>3</v>
      </c>
      <c r="AF12" s="3" t="n">
        <v>3</v>
      </c>
      <c r="AG12" s="3" t="n">
        <v>16</v>
      </c>
      <c r="AH12" s="3" t="n">
        <v>2</v>
      </c>
    </row>
    <row r="13" ht="18" customHeight="1">
      <c r="A13" s="15" t="inlineStr">
        <is>
          <t>Anjugramam-1</t>
        </is>
      </c>
      <c r="B13" s="15" t="inlineStr">
        <is>
          <t>4.9★</t>
        </is>
      </c>
      <c r="C13" s="15" t="n">
        <v>725</v>
      </c>
      <c r="D13" s="3">
        <f>SUM(E13:AH13)</f>
        <v/>
      </c>
      <c r="E13" s="3" t="n">
        <v>4</v>
      </c>
      <c r="F13" s="3" t="n">
        <v>5</v>
      </c>
      <c r="G13" s="3" t="n">
        <v>1</v>
      </c>
      <c r="H13" s="18" t="n">
        <v>1</v>
      </c>
      <c r="I13" s="18" t="n">
        <v>4</v>
      </c>
      <c r="J13" s="18" t="n">
        <v>1</v>
      </c>
      <c r="K13" s="3" t="n">
        <v>4</v>
      </c>
      <c r="L13" s="18" t="n">
        <v>1</v>
      </c>
      <c r="M13" s="3" t="n">
        <v>1</v>
      </c>
      <c r="N13" s="3" t="n">
        <v>2</v>
      </c>
      <c r="O13" s="18" t="n">
        <v>2</v>
      </c>
      <c r="P13" s="18" t="n">
        <v>6</v>
      </c>
      <c r="Q13" s="18" t="n">
        <v>7</v>
      </c>
      <c r="R13" s="18" t="n">
        <v>2</v>
      </c>
      <c r="S13" s="18" t="n">
        <v>3</v>
      </c>
      <c r="T13" s="3" t="n">
        <v>0</v>
      </c>
      <c r="U13" s="3" t="n">
        <v>1</v>
      </c>
      <c r="V13" s="18" t="n">
        <v>1</v>
      </c>
      <c r="W13" s="18">
        <f>IFERROR(INDEX([1]Reviews!$C:$C,MATCH(A13,[1]Reviews!#REF!,0)),0)</f>
        <v/>
      </c>
      <c r="X13" s="18" t="n">
        <v>9</v>
      </c>
      <c r="Y13" s="18" t="n">
        <v>3</v>
      </c>
      <c r="Z13" s="18" t="n">
        <v>7</v>
      </c>
      <c r="AA13" s="18" t="n">
        <v>2</v>
      </c>
      <c r="AB13" s="18" t="n">
        <v>0</v>
      </c>
      <c r="AC13" s="3" t="n">
        <v>1</v>
      </c>
      <c r="AD13" s="18" t="n">
        <v>5</v>
      </c>
      <c r="AE13" s="3" t="n">
        <v>7</v>
      </c>
      <c r="AF13" s="3" t="n">
        <v>7</v>
      </c>
      <c r="AG13" s="3" t="n">
        <v>7</v>
      </c>
      <c r="AH13" s="3" t="n">
        <v>3</v>
      </c>
    </row>
    <row r="14" ht="18" customHeight="1">
      <c r="A14" s="15" t="inlineStr">
        <is>
          <t>Nagercoil</t>
        </is>
      </c>
      <c r="B14" s="15" t="inlineStr">
        <is>
          <t>4.7★</t>
        </is>
      </c>
      <c r="C14" s="15" t="n">
        <v>3142</v>
      </c>
      <c r="D14" s="3">
        <f>SUM(E14:AH14)</f>
        <v/>
      </c>
      <c r="E14" s="3" t="n">
        <v>1</v>
      </c>
      <c r="F14" s="3" t="n">
        <v>1</v>
      </c>
      <c r="G14" s="3" t="n">
        <v>2</v>
      </c>
      <c r="H14" s="18" t="n">
        <v>5</v>
      </c>
      <c r="I14" s="18" t="n">
        <v>8</v>
      </c>
      <c r="J14" s="18" t="n">
        <v>6</v>
      </c>
      <c r="K14" s="3" t="n">
        <v>16</v>
      </c>
      <c r="L14" s="18" t="n">
        <v>3</v>
      </c>
      <c r="M14" s="3" t="n">
        <v>2</v>
      </c>
      <c r="N14" s="3" t="n">
        <v>5</v>
      </c>
      <c r="O14" s="18" t="n">
        <v>2</v>
      </c>
      <c r="P14" s="18" t="n">
        <v>2</v>
      </c>
      <c r="Q14" s="18" t="n">
        <v>4</v>
      </c>
      <c r="R14" s="18" t="n">
        <v>6</v>
      </c>
      <c r="S14" s="18" t="n">
        <v>7</v>
      </c>
      <c r="T14" s="3" t="n">
        <v>15</v>
      </c>
      <c r="U14" s="3" t="n">
        <v>9</v>
      </c>
      <c r="V14" s="18" t="n">
        <v>5</v>
      </c>
      <c r="W14" s="18" t="n">
        <v>5</v>
      </c>
      <c r="X14" s="18" t="n">
        <v>5</v>
      </c>
      <c r="Y14" s="18" t="n">
        <v>7</v>
      </c>
      <c r="Z14" s="18" t="n">
        <v>8</v>
      </c>
      <c r="AA14" s="18" t="n">
        <v>8</v>
      </c>
      <c r="AB14" s="18" t="n">
        <v>1</v>
      </c>
      <c r="AC14" s="3" t="n">
        <v>5</v>
      </c>
      <c r="AD14" s="18" t="n">
        <v>5</v>
      </c>
      <c r="AE14" s="3" t="n">
        <v>12</v>
      </c>
      <c r="AF14" s="3" t="n">
        <v>11</v>
      </c>
      <c r="AG14" s="3" t="n">
        <v>26</v>
      </c>
      <c r="AH14" s="3" t="n">
        <v>6</v>
      </c>
    </row>
    <row r="15" ht="18" customHeight="1">
      <c r="A15" s="15" t="inlineStr">
        <is>
          <t>Marthandam</t>
        </is>
      </c>
      <c r="B15" s="15" t="inlineStr">
        <is>
          <t>4.7★</t>
        </is>
      </c>
      <c r="C15" s="15" t="n">
        <v>1131</v>
      </c>
      <c r="D15" s="3">
        <f>SUM(E15:AH15)</f>
        <v/>
      </c>
      <c r="E15" s="3" t="n">
        <v>6</v>
      </c>
      <c r="F15" s="3" t="n">
        <v>4</v>
      </c>
      <c r="G15" s="3" t="n">
        <v>9</v>
      </c>
      <c r="H15" s="18" t="n">
        <v>3</v>
      </c>
      <c r="I15" s="18" t="n">
        <v>5</v>
      </c>
      <c r="J15" s="18" t="n">
        <v>4</v>
      </c>
      <c r="K15" s="3" t="n">
        <v>7</v>
      </c>
      <c r="L15" s="18" t="n">
        <v>1</v>
      </c>
      <c r="M15" s="3" t="n">
        <v>11</v>
      </c>
      <c r="N15" s="3" t="n">
        <v>9</v>
      </c>
      <c r="O15" s="18" t="n">
        <v>3</v>
      </c>
      <c r="P15" s="18" t="n">
        <v>1</v>
      </c>
      <c r="Q15" s="18" t="n">
        <v>9</v>
      </c>
      <c r="R15" s="18" t="n">
        <v>1</v>
      </c>
      <c r="S15" s="18" t="n">
        <v>1</v>
      </c>
      <c r="T15" s="3" t="n">
        <v>1</v>
      </c>
      <c r="U15" s="3" t="n">
        <v>14</v>
      </c>
      <c r="V15" s="18" t="n">
        <v>3</v>
      </c>
      <c r="W15" s="18" t="n">
        <v>4</v>
      </c>
      <c r="X15" s="18" t="n">
        <v>0</v>
      </c>
      <c r="Y15" s="18" t="n">
        <v>4</v>
      </c>
      <c r="Z15" s="18" t="n">
        <v>3</v>
      </c>
      <c r="AA15" s="18" t="n">
        <v>4</v>
      </c>
      <c r="AB15" s="18" t="n">
        <v>4</v>
      </c>
      <c r="AC15" s="3" t="n">
        <v>0</v>
      </c>
      <c r="AD15" s="18" t="n">
        <v>4</v>
      </c>
      <c r="AE15" s="3" t="n">
        <v>2</v>
      </c>
      <c r="AF15" s="3" t="n">
        <v>0</v>
      </c>
      <c r="AG15" s="3" t="n">
        <v>2</v>
      </c>
      <c r="AH15" s="3" t="n">
        <v>0</v>
      </c>
    </row>
    <row r="16" ht="18" customHeight="1">
      <c r="A16" s="15" t="inlineStr">
        <is>
          <t>Thuckalay-1</t>
        </is>
      </c>
      <c r="B16" s="15" t="inlineStr">
        <is>
          <t>4.7★</t>
        </is>
      </c>
      <c r="C16" s="15" t="n">
        <v>1118</v>
      </c>
      <c r="D16" s="3">
        <f>SUM(E16:AH16)</f>
        <v/>
      </c>
      <c r="E16" s="3" t="n">
        <v>8</v>
      </c>
      <c r="F16" s="3" t="n">
        <v>2</v>
      </c>
      <c r="G16" s="3" t="n">
        <v>2</v>
      </c>
      <c r="H16" s="18" t="n">
        <v>4</v>
      </c>
      <c r="I16" s="18" t="n">
        <v>0</v>
      </c>
      <c r="J16" s="18" t="n">
        <v>4</v>
      </c>
      <c r="K16" s="3" t="n">
        <v>14</v>
      </c>
      <c r="L16" s="18" t="n">
        <v>1</v>
      </c>
      <c r="M16" s="3" t="n">
        <v>5</v>
      </c>
      <c r="N16" s="3" t="n">
        <v>1</v>
      </c>
      <c r="O16" s="18" t="n">
        <v>2</v>
      </c>
      <c r="P16" s="18" t="n">
        <v>6</v>
      </c>
      <c r="Q16" s="18" t="n">
        <v>7</v>
      </c>
      <c r="R16" s="18" t="n">
        <v>5</v>
      </c>
      <c r="S16" s="18" t="n">
        <v>1</v>
      </c>
      <c r="T16" s="3" t="n">
        <v>1</v>
      </c>
      <c r="U16" s="3" t="n">
        <v>4</v>
      </c>
      <c r="V16" s="18" t="n">
        <v>2</v>
      </c>
      <c r="W16" s="18" t="n">
        <v>2</v>
      </c>
      <c r="X16" s="18" t="n">
        <v>2</v>
      </c>
      <c r="Y16" s="18" t="n">
        <v>3</v>
      </c>
      <c r="Z16" s="18" t="n">
        <v>2</v>
      </c>
      <c r="AA16" s="18" t="n">
        <v>2</v>
      </c>
      <c r="AB16" s="18" t="n">
        <v>1</v>
      </c>
      <c r="AC16" s="3" t="n">
        <v>1</v>
      </c>
      <c r="AD16" s="18" t="n">
        <v>4</v>
      </c>
      <c r="AE16" s="3" t="n">
        <v>2</v>
      </c>
      <c r="AF16" s="3" t="n">
        <v>1</v>
      </c>
      <c r="AG16" s="3" t="n">
        <v>1</v>
      </c>
      <c r="AH16" s="3" t="n">
        <v>2</v>
      </c>
    </row>
    <row r="17" ht="18" customHeight="1">
      <c r="A17" s="15" t="inlineStr">
        <is>
          <t>Colachel-1</t>
        </is>
      </c>
      <c r="B17" s="15" t="inlineStr">
        <is>
          <t>4.9★</t>
        </is>
      </c>
      <c r="C17" s="15" t="n">
        <v>286</v>
      </c>
      <c r="D17" s="3">
        <f>SUM(E17:AH17)</f>
        <v/>
      </c>
      <c r="E17" s="3" t="n">
        <v>0</v>
      </c>
      <c r="F17" s="3" t="n">
        <v>3</v>
      </c>
      <c r="G17" s="3" t="n">
        <v>1</v>
      </c>
      <c r="H17" s="18" t="n">
        <v>1</v>
      </c>
      <c r="I17" s="18" t="n">
        <v>2</v>
      </c>
      <c r="J17" s="18" t="n">
        <v>2</v>
      </c>
      <c r="K17" s="3" t="n">
        <v>0</v>
      </c>
      <c r="L17" s="18" t="n">
        <v>2</v>
      </c>
      <c r="M17" s="3" t="n">
        <v>3</v>
      </c>
      <c r="N17" s="3" t="n">
        <v>3</v>
      </c>
      <c r="O17" s="18" t="n">
        <v>5</v>
      </c>
      <c r="P17" s="18" t="n">
        <v>2</v>
      </c>
      <c r="Q17" s="18" t="n">
        <v>2</v>
      </c>
      <c r="R17" s="18" t="n">
        <v>1</v>
      </c>
      <c r="S17" s="18" t="n">
        <v>0</v>
      </c>
      <c r="T17" s="3" t="n">
        <v>2</v>
      </c>
      <c r="U17" s="3" t="n">
        <v>2</v>
      </c>
      <c r="V17" s="18" t="n">
        <v>1</v>
      </c>
      <c r="W17" s="18" t="n">
        <v>2</v>
      </c>
      <c r="X17" s="18" t="n">
        <v>0</v>
      </c>
      <c r="Y17" s="18" t="n">
        <v>0</v>
      </c>
      <c r="Z17" s="18" t="n">
        <v>2</v>
      </c>
      <c r="AA17" s="18" t="n">
        <v>2</v>
      </c>
      <c r="AB17" s="18" t="n">
        <v>1</v>
      </c>
      <c r="AC17" s="3" t="n">
        <v>1</v>
      </c>
      <c r="AD17" s="18" t="n">
        <v>4</v>
      </c>
      <c r="AE17" s="3" t="n">
        <v>2</v>
      </c>
      <c r="AF17" s="3" t="n">
        <v>3</v>
      </c>
      <c r="AG17" s="3" t="n">
        <v>5</v>
      </c>
      <c r="AH17" s="3" t="n">
        <v>2</v>
      </c>
    </row>
    <row r="18" ht="18" customHeight="1">
      <c r="A18" s="15" t="inlineStr">
        <is>
          <t>Kulasekharam-1</t>
        </is>
      </c>
      <c r="B18" s="15" t="inlineStr">
        <is>
          <t>4.9★</t>
        </is>
      </c>
      <c r="C18" s="15" t="n">
        <v>423</v>
      </c>
      <c r="D18" s="3">
        <f>SUM(E18:AH18)</f>
        <v/>
      </c>
      <c r="E18" s="3" t="n">
        <v>8</v>
      </c>
      <c r="F18" s="3" t="n">
        <v>8</v>
      </c>
      <c r="G18" s="3" t="n">
        <v>5</v>
      </c>
      <c r="H18" s="18" t="n">
        <v>2</v>
      </c>
      <c r="I18" s="18" t="n">
        <v>2</v>
      </c>
      <c r="J18" s="18" t="n">
        <v>3</v>
      </c>
      <c r="K18" s="3" t="n">
        <v>7</v>
      </c>
      <c r="L18" s="18" t="n">
        <v>1</v>
      </c>
      <c r="M18" s="3" t="n">
        <v>2</v>
      </c>
      <c r="N18" s="3" t="n">
        <v>1</v>
      </c>
      <c r="O18" s="18" t="n">
        <v>2</v>
      </c>
      <c r="P18" s="18" t="n">
        <v>3</v>
      </c>
      <c r="Q18" s="18" t="n">
        <v>4</v>
      </c>
      <c r="R18" s="18" t="n">
        <v>1</v>
      </c>
      <c r="S18" s="18" t="n">
        <v>0</v>
      </c>
      <c r="T18" s="3" t="n">
        <v>5</v>
      </c>
      <c r="U18" s="3" t="n">
        <v>0</v>
      </c>
      <c r="V18" s="18" t="n">
        <v>3</v>
      </c>
      <c r="W18" s="18" t="n">
        <v>1</v>
      </c>
      <c r="X18" s="18" t="n">
        <v>4</v>
      </c>
      <c r="Y18" s="18" t="n">
        <v>3</v>
      </c>
      <c r="Z18" s="18" t="n">
        <v>3</v>
      </c>
      <c r="AA18" s="18" t="n">
        <v>1</v>
      </c>
      <c r="AB18" s="18" t="n">
        <v>4</v>
      </c>
      <c r="AC18" s="3" t="n">
        <v>2</v>
      </c>
      <c r="AD18" s="18" t="n">
        <v>4</v>
      </c>
      <c r="AE18" s="3" t="n">
        <v>1</v>
      </c>
      <c r="AF18" s="3" t="n">
        <v>5</v>
      </c>
      <c r="AG18" s="3" t="n">
        <v>7</v>
      </c>
      <c r="AH18" s="3" t="n">
        <v>2</v>
      </c>
    </row>
    <row r="19" ht="18" customHeight="1">
      <c r="A19" s="15" t="inlineStr">
        <is>
          <t>Monday Market</t>
        </is>
      </c>
      <c r="B19" s="15" t="inlineStr">
        <is>
          <t>4.9★</t>
        </is>
      </c>
      <c r="C19" s="15" t="n">
        <v>347</v>
      </c>
      <c r="D19" s="3">
        <f>SUM(E19:AH19)</f>
        <v/>
      </c>
      <c r="E19" s="3" t="n">
        <v>2</v>
      </c>
      <c r="F19" s="3" t="n">
        <v>1</v>
      </c>
      <c r="G19" s="3" t="n">
        <v>3</v>
      </c>
      <c r="H19" s="18" t="n">
        <v>2</v>
      </c>
      <c r="I19" s="18" t="n">
        <v>1</v>
      </c>
      <c r="J19" s="18" t="n">
        <v>1</v>
      </c>
      <c r="K19" s="3" t="n">
        <v>1</v>
      </c>
      <c r="L19" s="18" t="n">
        <v>1</v>
      </c>
      <c r="M19" s="3" t="n">
        <v>3</v>
      </c>
      <c r="N19" s="3" t="n">
        <v>0</v>
      </c>
      <c r="O19" s="18" t="n">
        <v>1</v>
      </c>
      <c r="P19" s="18" t="n">
        <v>0</v>
      </c>
      <c r="Q19" s="18" t="n">
        <v>1</v>
      </c>
      <c r="R19" s="18" t="n">
        <v>2</v>
      </c>
      <c r="S19" s="18" t="n">
        <v>1</v>
      </c>
      <c r="T19" s="3" t="n">
        <v>2</v>
      </c>
      <c r="U19" s="3" t="n">
        <v>1</v>
      </c>
      <c r="V19" s="18" t="n">
        <v>1</v>
      </c>
      <c r="W19" s="18" t="n">
        <v>1</v>
      </c>
      <c r="X19" s="18" t="n">
        <v>0</v>
      </c>
      <c r="Y19" s="18" t="n">
        <v>3</v>
      </c>
      <c r="Z19" s="18" t="n">
        <v>7</v>
      </c>
      <c r="AA19" s="18" t="n">
        <v>4</v>
      </c>
      <c r="AB19" s="18" t="n">
        <v>1</v>
      </c>
      <c r="AC19" s="3" t="n">
        <v>1</v>
      </c>
      <c r="AD19" s="18" t="n">
        <v>4</v>
      </c>
      <c r="AE19" s="3" t="n">
        <v>2</v>
      </c>
      <c r="AF19" s="3" t="n">
        <v>0</v>
      </c>
      <c r="AG19" s="3" t="n">
        <v>6</v>
      </c>
      <c r="AH19" s="3" t="n">
        <v>1</v>
      </c>
    </row>
    <row r="20" ht="18" customHeight="1">
      <c r="A20" s="15" t="inlineStr">
        <is>
          <t>Karungal-1</t>
        </is>
      </c>
      <c r="B20" s="15" t="inlineStr">
        <is>
          <t>4.9★</t>
        </is>
      </c>
      <c r="C20" s="15" t="n">
        <v>751</v>
      </c>
      <c r="D20" s="3">
        <f>SUM(E20:AH20)</f>
        <v/>
      </c>
      <c r="E20" s="3" t="n">
        <v>6</v>
      </c>
      <c r="F20" s="3" t="n">
        <v>2</v>
      </c>
      <c r="G20" s="3" t="n">
        <v>1</v>
      </c>
      <c r="H20" s="18" t="n">
        <v>2</v>
      </c>
      <c r="I20" s="18" t="n">
        <v>2</v>
      </c>
      <c r="J20" s="18" t="n">
        <v>4</v>
      </c>
      <c r="K20" s="3" t="n">
        <v>4</v>
      </c>
      <c r="L20" s="18" t="n">
        <v>3</v>
      </c>
      <c r="M20" s="3" t="n">
        <v>5</v>
      </c>
      <c r="N20" s="3" t="n">
        <v>10</v>
      </c>
      <c r="O20" s="18" t="n">
        <v>2</v>
      </c>
      <c r="P20" s="18" t="n">
        <v>1</v>
      </c>
      <c r="Q20" s="18" t="n">
        <v>5</v>
      </c>
      <c r="R20" s="18" t="n">
        <v>4</v>
      </c>
      <c r="S20" s="18" t="n">
        <v>2</v>
      </c>
      <c r="T20" s="3" t="n">
        <v>9</v>
      </c>
      <c r="U20" s="3" t="n">
        <v>2</v>
      </c>
      <c r="V20" s="18" t="n">
        <v>3</v>
      </c>
      <c r="W20" s="18" t="n">
        <v>2</v>
      </c>
      <c r="X20" s="18" t="n">
        <v>6</v>
      </c>
      <c r="Y20" s="18" t="n">
        <v>6</v>
      </c>
      <c r="Z20" s="18" t="n">
        <v>3</v>
      </c>
      <c r="AA20" s="18" t="n">
        <v>2</v>
      </c>
      <c r="AB20" s="18" t="n">
        <v>1</v>
      </c>
      <c r="AC20" s="3" t="n">
        <v>2</v>
      </c>
      <c r="AD20" s="18" t="n">
        <v>4</v>
      </c>
      <c r="AE20" s="3" t="n">
        <v>3</v>
      </c>
      <c r="AF20" s="3" t="n">
        <v>0</v>
      </c>
      <c r="AG20" s="3" t="n">
        <v>11</v>
      </c>
      <c r="AH20" s="3" t="n">
        <v>9</v>
      </c>
    </row>
    <row r="21" ht="18" customHeight="1">
      <c r="A21" s="15" t="inlineStr">
        <is>
          <t>Kovilpatti</t>
        </is>
      </c>
      <c r="B21" s="15" t="inlineStr">
        <is>
          <t>4.6★</t>
        </is>
      </c>
      <c r="C21" s="15" t="n">
        <v>2452</v>
      </c>
      <c r="D21" s="3">
        <f>SUM(E21:AH21)</f>
        <v/>
      </c>
      <c r="E21" s="3" t="n">
        <v>1</v>
      </c>
      <c r="F21" s="3" t="n">
        <v>1</v>
      </c>
      <c r="G21" s="3" t="n">
        <v>3</v>
      </c>
      <c r="H21" s="18" t="n">
        <v>1</v>
      </c>
      <c r="I21" s="18" t="n">
        <v>10</v>
      </c>
      <c r="J21" s="18" t="n">
        <v>4</v>
      </c>
      <c r="K21" s="3" t="n">
        <v>5</v>
      </c>
      <c r="L21" s="18" t="n">
        <v>6</v>
      </c>
      <c r="M21" s="3" t="n">
        <v>6</v>
      </c>
      <c r="N21" s="3" t="n">
        <v>4</v>
      </c>
      <c r="O21" s="18" t="n">
        <v>2</v>
      </c>
      <c r="P21" s="18" t="n">
        <v>10</v>
      </c>
      <c r="Q21" s="18" t="n">
        <v>3</v>
      </c>
      <c r="R21" s="18" t="n">
        <v>16</v>
      </c>
      <c r="S21" s="18" t="n">
        <v>7</v>
      </c>
      <c r="T21" s="3" t="n">
        <v>3</v>
      </c>
      <c r="U21" s="3" t="n">
        <v>2</v>
      </c>
      <c r="V21" s="18" t="n">
        <v>15</v>
      </c>
      <c r="W21" s="18" t="n">
        <v>11</v>
      </c>
      <c r="X21" s="18" t="n">
        <v>9</v>
      </c>
      <c r="Y21" s="18" t="n">
        <v>18</v>
      </c>
      <c r="Z21" s="18" t="n">
        <v>23</v>
      </c>
      <c r="AA21" s="18" t="n">
        <v>15</v>
      </c>
      <c r="AB21" s="18" t="n">
        <v>11</v>
      </c>
      <c r="AC21" s="3" t="n">
        <v>8</v>
      </c>
      <c r="AD21" s="18" t="n">
        <v>4</v>
      </c>
      <c r="AE21" s="3" t="n">
        <v>14</v>
      </c>
      <c r="AF21" s="3" t="n">
        <v>10</v>
      </c>
      <c r="AG21" s="3" t="n">
        <v>21</v>
      </c>
      <c r="AH21" s="3" t="n">
        <v>2</v>
      </c>
    </row>
    <row r="22" ht="18" customHeight="1">
      <c r="A22" s="15" t="inlineStr">
        <is>
          <t>Ramnad</t>
        </is>
      </c>
      <c r="B22" s="15" t="inlineStr">
        <is>
          <t>4.8★</t>
        </is>
      </c>
      <c r="C22" s="15" t="n">
        <v>2397</v>
      </c>
      <c r="D22" s="3">
        <f>SUM(E22:AH22)</f>
        <v/>
      </c>
      <c r="E22" s="3" t="n">
        <v>16</v>
      </c>
      <c r="F22" s="3" t="n">
        <v>11</v>
      </c>
      <c r="G22" s="3" t="n">
        <v>6</v>
      </c>
      <c r="H22" s="18" t="n">
        <v>2</v>
      </c>
      <c r="I22" s="18" t="n">
        <v>11</v>
      </c>
      <c r="J22" s="18" t="n">
        <v>8</v>
      </c>
      <c r="K22" s="3" t="n">
        <v>8</v>
      </c>
      <c r="L22" s="18" t="n">
        <v>7</v>
      </c>
      <c r="M22" s="3" t="n">
        <v>5</v>
      </c>
      <c r="N22" s="3" t="n">
        <v>8</v>
      </c>
      <c r="O22" s="18" t="n">
        <v>3</v>
      </c>
      <c r="P22" s="18" t="n">
        <v>5</v>
      </c>
      <c r="Q22" s="18" t="n">
        <v>3</v>
      </c>
      <c r="R22" s="18" t="n">
        <v>4</v>
      </c>
      <c r="S22" s="18" t="n">
        <v>9</v>
      </c>
      <c r="T22" s="3" t="n">
        <v>1</v>
      </c>
      <c r="U22" s="3" t="n">
        <v>7</v>
      </c>
      <c r="V22" s="18" t="n">
        <v>7</v>
      </c>
      <c r="W22" s="18" t="n">
        <v>13</v>
      </c>
      <c r="X22" s="18" t="n">
        <v>6</v>
      </c>
      <c r="Y22" s="18" t="n">
        <v>14</v>
      </c>
      <c r="Z22" s="18" t="n">
        <v>7</v>
      </c>
      <c r="AA22" s="18" t="n">
        <v>1</v>
      </c>
      <c r="AB22" s="18" t="n">
        <v>2</v>
      </c>
      <c r="AC22" s="3" t="n">
        <v>4</v>
      </c>
      <c r="AD22" s="18" t="n">
        <v>3</v>
      </c>
      <c r="AE22" s="3" t="n">
        <v>6</v>
      </c>
      <c r="AF22" s="3" t="n">
        <v>3</v>
      </c>
      <c r="AG22" s="3" t="n">
        <v>6</v>
      </c>
      <c r="AH22" s="3" t="n">
        <v>0</v>
      </c>
    </row>
    <row r="23" ht="18" customHeight="1">
      <c r="A23" s="15" t="inlineStr">
        <is>
          <t>Paramakudi</t>
        </is>
      </c>
      <c r="B23" s="15" t="inlineStr">
        <is>
          <t>4.9★</t>
        </is>
      </c>
      <c r="C23" s="15" t="n">
        <v>1152</v>
      </c>
      <c r="D23" s="3">
        <f>SUM(E23:AH23)</f>
        <v/>
      </c>
      <c r="E23" s="3" t="n">
        <v>9</v>
      </c>
      <c r="F23" s="3" t="n">
        <v>6</v>
      </c>
      <c r="G23" s="3" t="n">
        <v>10</v>
      </c>
      <c r="H23" s="18" t="n">
        <v>2</v>
      </c>
      <c r="I23" s="18" t="n">
        <v>3</v>
      </c>
      <c r="J23" s="18" t="n">
        <v>6</v>
      </c>
      <c r="K23" s="3" t="n">
        <v>8</v>
      </c>
      <c r="L23" s="18" t="n">
        <v>2</v>
      </c>
      <c r="M23" s="3" t="n">
        <v>5</v>
      </c>
      <c r="N23" s="3" t="n">
        <v>6</v>
      </c>
      <c r="O23" s="18" t="n">
        <v>2</v>
      </c>
      <c r="P23" s="18" t="n">
        <v>1</v>
      </c>
      <c r="Q23" s="18" t="n">
        <v>1</v>
      </c>
      <c r="R23" s="18" t="n">
        <v>1</v>
      </c>
      <c r="S23" s="18" t="n">
        <v>0</v>
      </c>
      <c r="T23" s="3" t="n">
        <v>2</v>
      </c>
      <c r="U23" s="3" t="n">
        <v>5</v>
      </c>
      <c r="V23" s="18" t="n">
        <v>3</v>
      </c>
      <c r="W23" s="18" t="n">
        <v>5</v>
      </c>
      <c r="X23" s="18" t="n">
        <v>2</v>
      </c>
      <c r="Y23" s="18" t="n">
        <v>3</v>
      </c>
      <c r="Z23" s="18" t="n">
        <v>6</v>
      </c>
      <c r="AA23" s="18" t="n">
        <v>5</v>
      </c>
      <c r="AB23" s="18" t="n">
        <v>4</v>
      </c>
      <c r="AC23" s="3" t="n">
        <v>3</v>
      </c>
      <c r="AD23" s="18" t="n">
        <v>3</v>
      </c>
      <c r="AE23" s="3" t="n">
        <v>6</v>
      </c>
      <c r="AF23" s="3" t="n">
        <v>3</v>
      </c>
      <c r="AG23" s="3" t="n">
        <v>6</v>
      </c>
      <c r="AH23" s="3" t="n">
        <v>1</v>
      </c>
    </row>
    <row r="24" ht="18" customHeight="1">
      <c r="A24" s="15" t="inlineStr">
        <is>
          <t>Sayalkudi-1</t>
        </is>
      </c>
      <c r="B24" s="15" t="inlineStr">
        <is>
          <t>4.9★</t>
        </is>
      </c>
      <c r="C24" s="15" t="n">
        <v>667</v>
      </c>
      <c r="D24" s="3">
        <f>SUM(E24:AH24)</f>
        <v/>
      </c>
      <c r="E24" s="3" t="n">
        <v>4</v>
      </c>
      <c r="F24" s="3" t="n">
        <v>4</v>
      </c>
      <c r="G24" s="3" t="n">
        <v>4</v>
      </c>
      <c r="H24" s="18" t="n">
        <v>2</v>
      </c>
      <c r="I24" s="18" t="n">
        <v>7</v>
      </c>
      <c r="J24" s="18" t="n">
        <v>3</v>
      </c>
      <c r="K24" s="3" t="n">
        <v>3</v>
      </c>
      <c r="L24" s="18" t="n">
        <v>4</v>
      </c>
      <c r="M24" s="3" t="n">
        <v>4</v>
      </c>
      <c r="N24" s="3" t="n">
        <v>2</v>
      </c>
      <c r="O24" s="18" t="n">
        <v>1</v>
      </c>
      <c r="P24" s="18" t="n">
        <v>2</v>
      </c>
      <c r="Q24" s="18" t="n">
        <v>2</v>
      </c>
      <c r="R24" s="18" t="n">
        <v>3</v>
      </c>
      <c r="S24" s="18" t="n">
        <v>6</v>
      </c>
      <c r="T24" s="3" t="n">
        <v>3</v>
      </c>
      <c r="U24" s="3" t="n">
        <v>4</v>
      </c>
      <c r="V24" s="18" t="n">
        <v>4</v>
      </c>
      <c r="W24" s="18" t="n">
        <v>5</v>
      </c>
      <c r="X24" s="18" t="n">
        <v>2</v>
      </c>
      <c r="Y24" s="18" t="n">
        <v>3</v>
      </c>
      <c r="Z24" s="18" t="n">
        <v>4</v>
      </c>
      <c r="AA24" s="18" t="n">
        <v>5</v>
      </c>
      <c r="AB24" s="18" t="n">
        <v>3</v>
      </c>
      <c r="AC24" s="3" t="n">
        <v>4</v>
      </c>
      <c r="AD24" s="18" t="n">
        <v>3</v>
      </c>
      <c r="AE24" s="3" t="n">
        <v>2</v>
      </c>
      <c r="AF24" s="3" t="n">
        <v>4</v>
      </c>
      <c r="AG24" s="3" t="n">
        <v>6</v>
      </c>
      <c r="AH24" s="3" t="n">
        <v>2</v>
      </c>
    </row>
    <row r="25" ht="18" customHeight="1">
      <c r="A25" s="15" t="inlineStr">
        <is>
          <t>Villathikullam</t>
        </is>
      </c>
      <c r="B25" s="15" t="inlineStr">
        <is>
          <t>4.8★</t>
        </is>
      </c>
      <c r="C25" s="15" t="n">
        <v>612</v>
      </c>
      <c r="D25" s="3">
        <f>SUM(E25:AH25)</f>
        <v/>
      </c>
      <c r="E25" s="3" t="n">
        <v>2</v>
      </c>
      <c r="F25" s="3" t="n">
        <v>1</v>
      </c>
      <c r="G25" s="3" t="n">
        <v>0</v>
      </c>
      <c r="H25" s="18" t="n">
        <v>3</v>
      </c>
      <c r="I25" s="18" t="n">
        <v>1</v>
      </c>
      <c r="J25" s="18" t="n">
        <v>2</v>
      </c>
      <c r="K25" s="3" t="n">
        <v>3</v>
      </c>
      <c r="L25" s="18" t="n">
        <v>2</v>
      </c>
      <c r="M25" s="3" t="n">
        <v>1</v>
      </c>
      <c r="N25" s="3" t="n">
        <v>0</v>
      </c>
      <c r="O25" s="18" t="n">
        <v>1</v>
      </c>
      <c r="P25" s="18" t="n">
        <v>0</v>
      </c>
      <c r="Q25" s="18" t="n">
        <v>0</v>
      </c>
      <c r="R25" s="18" t="n">
        <v>2</v>
      </c>
      <c r="S25" s="18" t="n">
        <v>1</v>
      </c>
      <c r="T25" s="3" t="n">
        <v>1</v>
      </c>
      <c r="U25" s="3" t="n">
        <v>0</v>
      </c>
      <c r="V25" s="18" t="n">
        <v>2</v>
      </c>
      <c r="W25" s="18" t="n">
        <v>1</v>
      </c>
      <c r="X25" s="18" t="n">
        <v>1</v>
      </c>
      <c r="Y25" s="18" t="n">
        <v>2</v>
      </c>
      <c r="Z25" s="18" t="n">
        <v>1</v>
      </c>
      <c r="AA25" s="18" t="n">
        <v>0</v>
      </c>
      <c r="AB25" s="18" t="n">
        <v>0</v>
      </c>
      <c r="AC25" s="3" t="n">
        <v>4</v>
      </c>
      <c r="AD25" s="18" t="n">
        <v>2</v>
      </c>
      <c r="AE25" s="3" t="n">
        <v>4</v>
      </c>
      <c r="AF25" s="3" t="n">
        <v>2</v>
      </c>
      <c r="AG25" s="3" t="n">
        <v>12</v>
      </c>
      <c r="AH25" s="3" t="n">
        <v>2</v>
      </c>
    </row>
    <row r="26" ht="18" customHeight="1">
      <c r="A26" s="15" t="inlineStr">
        <is>
          <t>Sattur-2</t>
        </is>
      </c>
      <c r="B26" s="15" t="inlineStr">
        <is>
          <t>4.8★</t>
        </is>
      </c>
      <c r="C26" s="15" t="n">
        <v>971</v>
      </c>
      <c r="D26" s="3">
        <f>SUM(E26:AH26)</f>
        <v/>
      </c>
      <c r="E26" s="3" t="n">
        <v>6</v>
      </c>
      <c r="F26" s="3" t="n">
        <v>3</v>
      </c>
      <c r="G26" s="3" t="n">
        <v>3</v>
      </c>
      <c r="H26" s="18" t="n">
        <v>1</v>
      </c>
      <c r="I26" s="18" t="n">
        <v>2</v>
      </c>
      <c r="J26" s="18" t="n">
        <v>3</v>
      </c>
      <c r="K26" s="3" t="n">
        <v>2</v>
      </c>
      <c r="L26" s="18" t="n">
        <v>1</v>
      </c>
      <c r="M26" s="3" t="n">
        <v>8</v>
      </c>
      <c r="N26" s="3" t="n">
        <v>2</v>
      </c>
      <c r="O26" s="18" t="n">
        <v>3</v>
      </c>
      <c r="P26" s="18" t="n">
        <v>2</v>
      </c>
      <c r="Q26" s="18" t="n">
        <v>4</v>
      </c>
      <c r="R26" s="18" t="n">
        <v>2</v>
      </c>
      <c r="S26" s="18" t="n">
        <v>2</v>
      </c>
      <c r="T26" s="3" t="n">
        <v>3</v>
      </c>
      <c r="U26" s="3" t="n">
        <v>5</v>
      </c>
      <c r="V26" s="18" t="n">
        <v>2</v>
      </c>
      <c r="W26" s="18" t="n">
        <v>5</v>
      </c>
      <c r="X26" s="18" t="n">
        <v>3</v>
      </c>
      <c r="Y26" s="18" t="n">
        <v>4</v>
      </c>
      <c r="Z26" s="18" t="n">
        <v>4</v>
      </c>
      <c r="AA26" s="18" t="n">
        <v>2</v>
      </c>
      <c r="AB26" s="18" t="n">
        <v>5</v>
      </c>
      <c r="AC26" s="3" t="n">
        <v>4</v>
      </c>
      <c r="AD26" s="18" t="n">
        <v>2</v>
      </c>
      <c r="AE26" s="3" t="n">
        <v>1</v>
      </c>
      <c r="AF26" s="3" t="n">
        <v>3</v>
      </c>
      <c r="AG26" s="3" t="n">
        <v>5</v>
      </c>
      <c r="AH26" s="3" t="n">
        <v>1</v>
      </c>
    </row>
    <row r="27" ht="18" customHeight="1">
      <c r="A27" s="15" t="inlineStr">
        <is>
          <t>Sankarankovil-1</t>
        </is>
      </c>
      <c r="B27" s="15" t="inlineStr">
        <is>
          <t>4.9★</t>
        </is>
      </c>
      <c r="C27" s="15" t="n">
        <v>1010</v>
      </c>
      <c r="D27" s="3">
        <f>SUM(E27:AH27)</f>
        <v/>
      </c>
      <c r="E27" s="3" t="n">
        <v>1</v>
      </c>
      <c r="F27" s="3" t="n">
        <v>5</v>
      </c>
      <c r="G27" s="3" t="n">
        <v>3</v>
      </c>
      <c r="H27" s="18" t="n">
        <v>2</v>
      </c>
      <c r="I27" s="18" t="n">
        <v>0</v>
      </c>
      <c r="J27" s="18" t="n">
        <v>6</v>
      </c>
      <c r="K27" s="3" t="n">
        <v>3</v>
      </c>
      <c r="L27" s="18" t="n">
        <v>1</v>
      </c>
      <c r="M27" s="3" t="n">
        <v>2</v>
      </c>
      <c r="N27" s="3" t="n">
        <v>4</v>
      </c>
      <c r="O27" s="18" t="n">
        <v>1</v>
      </c>
      <c r="P27" s="18" t="n">
        <v>1</v>
      </c>
      <c r="Q27" s="18" t="n">
        <v>2</v>
      </c>
      <c r="R27" s="18" t="n">
        <v>3</v>
      </c>
      <c r="S27" s="18" t="n">
        <v>2</v>
      </c>
      <c r="T27" s="3" t="n">
        <v>5</v>
      </c>
      <c r="U27" s="3" t="n">
        <v>4</v>
      </c>
      <c r="V27" s="18" t="n">
        <v>1</v>
      </c>
      <c r="W27" s="18" t="n">
        <v>2</v>
      </c>
      <c r="X27" s="18" t="n">
        <v>3</v>
      </c>
      <c r="Y27" s="18" t="n">
        <v>1</v>
      </c>
      <c r="Z27" s="18" t="n">
        <v>2</v>
      </c>
      <c r="AA27" s="18" t="n">
        <v>0</v>
      </c>
      <c r="AB27" s="18" t="n">
        <v>1</v>
      </c>
      <c r="AC27" s="3" t="n">
        <v>3</v>
      </c>
      <c r="AD27" s="18" t="n">
        <v>2</v>
      </c>
      <c r="AE27" s="3" t="n">
        <v>1</v>
      </c>
      <c r="AF27" s="3" t="n">
        <v>0</v>
      </c>
      <c r="AG27" s="3" t="n">
        <v>12</v>
      </c>
      <c r="AH27" s="3" t="n">
        <v>2</v>
      </c>
    </row>
    <row r="28" ht="18" customHeight="1">
      <c r="A28" s="15" t="inlineStr">
        <is>
          <t>Kayathar-1</t>
        </is>
      </c>
      <c r="B28" s="15" t="inlineStr">
        <is>
          <t>5★</t>
        </is>
      </c>
      <c r="C28" s="15" t="n">
        <v>991</v>
      </c>
      <c r="D28" s="3">
        <f>SUM(E28:AH28)</f>
        <v/>
      </c>
      <c r="E28" s="3" t="n">
        <v>3</v>
      </c>
      <c r="F28" s="3" t="n">
        <v>1</v>
      </c>
      <c r="G28" s="3" t="n">
        <v>1</v>
      </c>
      <c r="H28" s="18" t="n">
        <v>7</v>
      </c>
      <c r="I28" s="18" t="n">
        <v>3</v>
      </c>
      <c r="J28" s="18" t="n">
        <v>3</v>
      </c>
      <c r="K28" s="3" t="n">
        <v>2</v>
      </c>
      <c r="L28" s="18" t="n">
        <v>6</v>
      </c>
      <c r="M28" s="3" t="n">
        <v>3</v>
      </c>
      <c r="N28" s="3" t="n">
        <v>2</v>
      </c>
      <c r="O28" s="18" t="n">
        <v>2</v>
      </c>
      <c r="P28" s="18" t="n">
        <v>2</v>
      </c>
      <c r="Q28" s="18" t="n">
        <v>2</v>
      </c>
      <c r="R28" s="18" t="n">
        <v>6</v>
      </c>
      <c r="S28" s="18" t="n">
        <v>2</v>
      </c>
      <c r="T28" s="3" t="n">
        <v>4</v>
      </c>
      <c r="U28" s="3" t="n">
        <v>3</v>
      </c>
      <c r="V28" s="18" t="n">
        <v>2</v>
      </c>
      <c r="W28" s="18" t="n">
        <v>2</v>
      </c>
      <c r="X28" s="18" t="n">
        <v>6</v>
      </c>
      <c r="Y28" s="18" t="n">
        <v>6</v>
      </c>
      <c r="Z28" s="18" t="n">
        <v>4</v>
      </c>
      <c r="AA28" s="18" t="n">
        <v>7</v>
      </c>
      <c r="AB28" s="18" t="n">
        <v>1</v>
      </c>
      <c r="AC28" s="3" t="n">
        <v>5</v>
      </c>
      <c r="AD28" s="18" t="n">
        <v>2</v>
      </c>
      <c r="AE28" s="3" t="n">
        <v>3</v>
      </c>
      <c r="AF28" s="3" t="n">
        <v>4</v>
      </c>
      <c r="AG28" s="3" t="n">
        <v>6</v>
      </c>
      <c r="AH28" s="3" t="n">
        <v>2</v>
      </c>
    </row>
    <row r="29" ht="18" customHeight="1">
      <c r="A29" s="15" t="inlineStr">
        <is>
          <t>Thenkasi</t>
        </is>
      </c>
      <c r="B29" s="15" t="inlineStr">
        <is>
          <t>4.9★</t>
        </is>
      </c>
      <c r="C29" s="15" t="n">
        <v>6137</v>
      </c>
      <c r="D29" s="3">
        <f>SUM(E29:AH29)</f>
        <v/>
      </c>
      <c r="E29" s="3" t="n">
        <v>3</v>
      </c>
      <c r="F29" s="3" t="n">
        <v>7</v>
      </c>
      <c r="G29" s="3" t="n">
        <v>4</v>
      </c>
      <c r="H29" s="18" t="n">
        <v>3</v>
      </c>
      <c r="I29" s="18" t="n">
        <v>16</v>
      </c>
      <c r="J29" s="18" t="n">
        <v>14</v>
      </c>
      <c r="K29" s="3" t="n">
        <v>4</v>
      </c>
      <c r="L29" s="18" t="n">
        <v>10</v>
      </c>
      <c r="M29" s="3" t="n">
        <v>7</v>
      </c>
      <c r="N29" s="3" t="n">
        <v>3</v>
      </c>
      <c r="O29" s="18" t="n">
        <v>3</v>
      </c>
      <c r="P29" s="18" t="n">
        <v>1</v>
      </c>
      <c r="Q29" s="18" t="n">
        <v>6</v>
      </c>
      <c r="R29" s="18" t="n">
        <v>3</v>
      </c>
      <c r="S29" s="18" t="n">
        <v>3</v>
      </c>
      <c r="T29" s="3" t="n">
        <v>5</v>
      </c>
      <c r="U29" s="3" t="n">
        <v>5</v>
      </c>
      <c r="V29" s="18" t="n">
        <v>3</v>
      </c>
      <c r="W29" s="18" t="n">
        <v>10</v>
      </c>
      <c r="X29" s="18" t="n">
        <v>13</v>
      </c>
      <c r="Y29" s="18" t="n">
        <v>1</v>
      </c>
      <c r="Z29" s="18" t="n">
        <v>7</v>
      </c>
      <c r="AA29" s="18" t="n">
        <v>5</v>
      </c>
      <c r="AB29" s="18" t="n">
        <v>8</v>
      </c>
      <c r="AC29" s="3" t="n">
        <v>4</v>
      </c>
      <c r="AD29" s="18" t="n">
        <v>2</v>
      </c>
      <c r="AE29" s="3" t="n">
        <v>1</v>
      </c>
      <c r="AF29" s="3" t="n">
        <v>2</v>
      </c>
      <c r="AG29" s="3" t="n">
        <v>23</v>
      </c>
      <c r="AH29" s="3" t="n">
        <v>10</v>
      </c>
    </row>
    <row r="30" ht="18" customHeight="1">
      <c r="A30" s="15" t="inlineStr">
        <is>
          <t>Thenkasi-2</t>
        </is>
      </c>
      <c r="B30" s="15" t="inlineStr">
        <is>
          <t>5★</t>
        </is>
      </c>
      <c r="C30" s="15" t="n">
        <v>3949</v>
      </c>
      <c r="D30" s="3">
        <f>SUM(E30:AH30)</f>
        <v/>
      </c>
      <c r="E30" s="3" t="n">
        <v>5</v>
      </c>
      <c r="F30" s="3" t="n">
        <v>6</v>
      </c>
      <c r="G30" s="3" t="n">
        <v>3</v>
      </c>
      <c r="H30" s="18" t="n">
        <v>7</v>
      </c>
      <c r="I30" s="18" t="n">
        <v>6</v>
      </c>
      <c r="J30" s="18" t="n">
        <v>6</v>
      </c>
      <c r="K30" s="3" t="n">
        <v>7</v>
      </c>
      <c r="L30" s="18" t="n">
        <v>2</v>
      </c>
      <c r="M30" s="3" t="n">
        <v>10</v>
      </c>
      <c r="N30" s="3" t="n">
        <v>2</v>
      </c>
      <c r="O30" s="18" t="n">
        <v>4</v>
      </c>
      <c r="P30" s="18" t="n">
        <v>3</v>
      </c>
      <c r="Q30" s="18" t="n">
        <v>7</v>
      </c>
      <c r="R30" s="18" t="n">
        <v>5</v>
      </c>
      <c r="S30" s="18" t="n">
        <v>5</v>
      </c>
      <c r="T30" s="3" t="n">
        <v>7</v>
      </c>
      <c r="U30" s="3" t="n">
        <v>4</v>
      </c>
      <c r="V30" s="18" t="n">
        <v>6</v>
      </c>
      <c r="W30" s="18" t="n">
        <v>7</v>
      </c>
      <c r="X30" s="18" t="n">
        <v>0</v>
      </c>
      <c r="Y30" s="18" t="n">
        <v>10</v>
      </c>
      <c r="Z30" s="18" t="n">
        <v>5</v>
      </c>
      <c r="AA30" s="18" t="n">
        <v>4</v>
      </c>
      <c r="AB30" s="18" t="n">
        <v>9</v>
      </c>
      <c r="AC30" s="3" t="n">
        <v>3</v>
      </c>
      <c r="AD30" s="18" t="n">
        <v>2</v>
      </c>
      <c r="AE30" s="3" t="n">
        <v>2</v>
      </c>
      <c r="AF30" s="3" t="n">
        <v>5</v>
      </c>
      <c r="AG30" s="3" t="n">
        <v>31</v>
      </c>
      <c r="AH30" s="3" t="n">
        <v>3</v>
      </c>
    </row>
    <row r="31" ht="18" customHeight="1">
      <c r="A31" s="15" t="inlineStr">
        <is>
          <t>Surandai-1</t>
        </is>
      </c>
      <c r="B31" s="15" t="inlineStr">
        <is>
          <t>4.9★</t>
        </is>
      </c>
      <c r="C31" s="15" t="n">
        <v>2249</v>
      </c>
      <c r="D31" s="3">
        <f>SUM(E31:AH31)</f>
        <v/>
      </c>
      <c r="E31" s="3" t="n">
        <v>11</v>
      </c>
      <c r="F31" s="3" t="n">
        <v>5</v>
      </c>
      <c r="G31" s="3" t="n">
        <v>10</v>
      </c>
      <c r="H31" s="18" t="n">
        <v>6</v>
      </c>
      <c r="I31" s="18" t="n">
        <v>6</v>
      </c>
      <c r="J31" s="18" t="n">
        <v>5</v>
      </c>
      <c r="K31" s="3" t="n">
        <v>9</v>
      </c>
      <c r="L31" s="18" t="n">
        <v>4</v>
      </c>
      <c r="M31" s="3" t="n">
        <v>2</v>
      </c>
      <c r="N31" s="3" t="n">
        <v>1</v>
      </c>
      <c r="O31" s="18" t="n">
        <v>7</v>
      </c>
      <c r="P31" s="18" t="n">
        <v>6</v>
      </c>
      <c r="Q31" s="18" t="n">
        <v>8</v>
      </c>
      <c r="R31" s="18" t="n">
        <v>4</v>
      </c>
      <c r="S31" s="18" t="n">
        <v>6</v>
      </c>
      <c r="T31" s="3" t="n">
        <v>6</v>
      </c>
      <c r="U31" s="3" t="n">
        <v>10</v>
      </c>
      <c r="V31" s="18" t="n">
        <v>3</v>
      </c>
      <c r="W31" s="18" t="n">
        <v>2</v>
      </c>
      <c r="X31" s="18" t="n">
        <v>2</v>
      </c>
      <c r="Y31" s="18" t="n">
        <v>6</v>
      </c>
      <c r="Z31" s="18" t="n">
        <v>3</v>
      </c>
      <c r="AA31" s="18" t="n">
        <v>4</v>
      </c>
      <c r="AB31" s="18" t="n">
        <v>7</v>
      </c>
      <c r="AC31" s="3" t="n">
        <v>10</v>
      </c>
      <c r="AD31" s="18" t="n">
        <v>2</v>
      </c>
      <c r="AE31" s="3" t="n">
        <v>3</v>
      </c>
      <c r="AF31" s="3" t="n">
        <v>9</v>
      </c>
      <c r="AG31" s="3" t="n">
        <v>7</v>
      </c>
      <c r="AH31" s="3" t="n">
        <v>2</v>
      </c>
    </row>
    <row r="32" ht="18" customHeight="1">
      <c r="A32" s="15" t="inlineStr">
        <is>
          <t>Puliyankudi-1</t>
        </is>
      </c>
      <c r="B32" s="15" t="inlineStr">
        <is>
          <t>4.9★</t>
        </is>
      </c>
      <c r="C32" s="15" t="n">
        <v>1012</v>
      </c>
      <c r="D32" s="3">
        <f>SUM(E32:AH32)</f>
        <v/>
      </c>
      <c r="E32" s="3" t="n">
        <v>4</v>
      </c>
      <c r="F32" s="3" t="n">
        <v>1</v>
      </c>
      <c r="G32" s="3" t="n">
        <v>2</v>
      </c>
      <c r="H32" s="18" t="n">
        <v>2</v>
      </c>
      <c r="I32" s="18" t="n">
        <v>2</v>
      </c>
      <c r="J32" s="18" t="n">
        <v>4</v>
      </c>
      <c r="K32" s="3" t="n">
        <v>1</v>
      </c>
      <c r="L32" s="18" t="n">
        <v>2</v>
      </c>
      <c r="M32" s="3" t="n">
        <v>4</v>
      </c>
      <c r="N32" s="3" t="n">
        <v>3</v>
      </c>
      <c r="O32" s="18" t="n">
        <v>1</v>
      </c>
      <c r="P32" s="18" t="n">
        <v>2</v>
      </c>
      <c r="Q32" s="18" t="n">
        <v>2</v>
      </c>
      <c r="R32" s="18" t="n">
        <v>3</v>
      </c>
      <c r="S32" s="18" t="n">
        <v>1</v>
      </c>
      <c r="T32" s="3" t="n">
        <v>4</v>
      </c>
      <c r="U32" s="3" t="n">
        <v>2</v>
      </c>
      <c r="V32" s="18" t="n">
        <v>1</v>
      </c>
      <c r="W32" s="18" t="n">
        <v>5</v>
      </c>
      <c r="X32" s="18" t="n">
        <v>3</v>
      </c>
      <c r="Y32" s="18" t="n">
        <v>1</v>
      </c>
      <c r="Z32" s="18" t="n">
        <v>5</v>
      </c>
      <c r="AA32" s="18" t="n">
        <v>0</v>
      </c>
      <c r="AB32" s="18" t="n">
        <v>6</v>
      </c>
      <c r="AC32" s="3" t="n">
        <v>2</v>
      </c>
      <c r="AD32" s="18" t="n">
        <v>1</v>
      </c>
      <c r="AE32" s="3" t="n">
        <v>0</v>
      </c>
      <c r="AF32" s="3" t="n">
        <v>1</v>
      </c>
      <c r="AG32" s="3" t="n">
        <v>2</v>
      </c>
      <c r="AH32" s="3" t="n">
        <v>1</v>
      </c>
    </row>
    <row r="33" ht="18" customHeight="1">
      <c r="A33" s="15" t="inlineStr">
        <is>
          <t>Sengottai-1</t>
        </is>
      </c>
      <c r="B33" s="15" t="inlineStr">
        <is>
          <t>5★</t>
        </is>
      </c>
      <c r="C33" s="15" t="n">
        <v>710</v>
      </c>
      <c r="D33" s="3">
        <f>SUM(E33:AH33)</f>
        <v/>
      </c>
      <c r="E33" s="3" t="n">
        <v>4</v>
      </c>
      <c r="F33" s="3" t="n">
        <v>3</v>
      </c>
      <c r="G33" s="3" t="n">
        <v>1</v>
      </c>
      <c r="H33" s="18" t="n">
        <v>1</v>
      </c>
      <c r="I33" s="18" t="n">
        <v>4</v>
      </c>
      <c r="J33" s="18" t="n">
        <v>4</v>
      </c>
      <c r="K33" s="3" t="n">
        <v>4</v>
      </c>
      <c r="L33" s="18" t="n">
        <v>4</v>
      </c>
      <c r="M33" s="3" t="n">
        <v>1</v>
      </c>
      <c r="N33" s="3" t="n">
        <v>1</v>
      </c>
      <c r="O33" s="18" t="n">
        <v>3</v>
      </c>
      <c r="P33" s="18" t="n">
        <v>4</v>
      </c>
      <c r="Q33" s="18" t="n">
        <v>3</v>
      </c>
      <c r="R33" s="18" t="n">
        <v>0</v>
      </c>
      <c r="S33" s="18" t="n">
        <v>2</v>
      </c>
      <c r="T33" s="3" t="n">
        <v>1</v>
      </c>
      <c r="U33" s="3" t="n">
        <v>2</v>
      </c>
      <c r="V33" s="18" t="n">
        <v>2</v>
      </c>
      <c r="W33" s="18" t="n">
        <v>1</v>
      </c>
      <c r="X33" s="18" t="n">
        <v>2</v>
      </c>
      <c r="Y33" s="18" t="n">
        <v>2</v>
      </c>
      <c r="Z33" s="18" t="n">
        <v>2</v>
      </c>
      <c r="AA33" s="18" t="n">
        <v>1</v>
      </c>
      <c r="AB33" s="18" t="n">
        <v>2</v>
      </c>
      <c r="AC33" s="3" t="n">
        <v>0</v>
      </c>
      <c r="AD33" s="18" t="n">
        <v>1</v>
      </c>
      <c r="AE33" s="3" t="n">
        <v>1</v>
      </c>
      <c r="AF33" s="3" t="n">
        <v>0</v>
      </c>
      <c r="AG33" s="3" t="n">
        <v>1</v>
      </c>
      <c r="AH33" s="3" t="n">
        <v>1</v>
      </c>
    </row>
    <row r="34" ht="18" customHeight="1">
      <c r="A34" s="15" t="inlineStr">
        <is>
          <t>Rajapalayam</t>
        </is>
      </c>
      <c r="B34" s="15" t="inlineStr">
        <is>
          <t>4.8★</t>
        </is>
      </c>
      <c r="C34" s="15" t="n">
        <v>2096</v>
      </c>
      <c r="D34" s="3">
        <f>SUM(E34:AH34)</f>
        <v/>
      </c>
      <c r="E34" s="3" t="n">
        <v>4</v>
      </c>
      <c r="F34" s="3" t="n">
        <v>11</v>
      </c>
      <c r="G34" s="3" t="n">
        <v>5</v>
      </c>
      <c r="H34" s="18" t="n">
        <v>4</v>
      </c>
      <c r="I34" s="18" t="n">
        <v>6</v>
      </c>
      <c r="J34" s="18" t="n">
        <v>10</v>
      </c>
      <c r="K34" s="3" t="n">
        <v>1</v>
      </c>
      <c r="L34" s="18" t="n">
        <v>3</v>
      </c>
      <c r="M34" s="3" t="n">
        <v>7</v>
      </c>
      <c r="N34" s="3" t="n">
        <v>5</v>
      </c>
      <c r="O34" s="18" t="n">
        <v>1</v>
      </c>
      <c r="P34" s="18" t="n">
        <v>6</v>
      </c>
      <c r="Q34" s="18" t="n">
        <v>8</v>
      </c>
      <c r="R34" s="18" t="n">
        <v>15</v>
      </c>
      <c r="S34" s="18" t="n">
        <v>4</v>
      </c>
      <c r="T34" s="3" t="n">
        <v>6</v>
      </c>
      <c r="U34" s="3" t="n">
        <v>8</v>
      </c>
      <c r="V34" s="18" t="n">
        <v>9</v>
      </c>
      <c r="W34" s="18" t="n">
        <v>10</v>
      </c>
      <c r="X34" s="18" t="n">
        <v>5</v>
      </c>
      <c r="Y34" s="18" t="n">
        <v>10</v>
      </c>
      <c r="Z34" s="18" t="n">
        <v>7</v>
      </c>
      <c r="AA34" s="18" t="n">
        <v>4</v>
      </c>
      <c r="AB34" s="18" t="n">
        <v>4</v>
      </c>
      <c r="AC34" s="3" t="n">
        <v>4</v>
      </c>
      <c r="AD34" s="18" t="n">
        <v>1</v>
      </c>
      <c r="AE34" s="3" t="n">
        <v>3</v>
      </c>
      <c r="AF34" s="3" t="n">
        <v>2</v>
      </c>
      <c r="AG34" s="3" t="n">
        <v>2</v>
      </c>
      <c r="AH34" s="3" t="n">
        <v>1</v>
      </c>
    </row>
    <row r="35" ht="18" customHeight="1">
      <c r="A35" s="15" t="inlineStr">
        <is>
          <t>Virudhunagar</t>
        </is>
      </c>
      <c r="B35" s="15" t="inlineStr">
        <is>
          <t>4.8★</t>
        </is>
      </c>
      <c r="C35" s="15" t="n">
        <v>2124</v>
      </c>
      <c r="D35" s="3">
        <f>SUM(E35:AH35)</f>
        <v/>
      </c>
      <c r="E35" s="3" t="n">
        <v>1</v>
      </c>
      <c r="F35" s="3" t="n">
        <v>2</v>
      </c>
      <c r="G35" s="3" t="n">
        <v>1</v>
      </c>
      <c r="H35" s="18" t="n">
        <v>2</v>
      </c>
      <c r="I35" s="18" t="n">
        <v>2</v>
      </c>
      <c r="J35" s="18" t="n">
        <v>1</v>
      </c>
      <c r="K35" s="3" t="n">
        <v>2</v>
      </c>
      <c r="L35" s="18" t="n">
        <v>2</v>
      </c>
      <c r="M35" s="3" t="n">
        <v>1</v>
      </c>
      <c r="N35" s="3" t="n">
        <v>4</v>
      </c>
      <c r="O35" s="18" t="n">
        <v>1</v>
      </c>
      <c r="P35" s="18" t="n">
        <v>2</v>
      </c>
      <c r="Q35" s="18" t="n">
        <v>1</v>
      </c>
      <c r="R35" s="18" t="n">
        <v>2</v>
      </c>
      <c r="S35" s="18" t="n">
        <v>5</v>
      </c>
      <c r="T35" s="3" t="n">
        <v>2</v>
      </c>
      <c r="U35" s="3" t="n">
        <v>1</v>
      </c>
      <c r="V35" s="18" t="n">
        <v>2</v>
      </c>
      <c r="W35" s="18" t="n">
        <v>1</v>
      </c>
      <c r="X35" s="18" t="n">
        <v>4</v>
      </c>
      <c r="Y35" s="18" t="n">
        <v>3</v>
      </c>
      <c r="Z35" s="18" t="n">
        <v>1</v>
      </c>
      <c r="AA35" s="18" t="n">
        <v>1</v>
      </c>
      <c r="AB35" s="18" t="n">
        <v>0</v>
      </c>
      <c r="AC35" s="3" t="n">
        <v>1</v>
      </c>
      <c r="AD35" s="18" t="n">
        <v>1</v>
      </c>
      <c r="AE35" s="3" t="n">
        <v>1</v>
      </c>
      <c r="AF35" s="3" t="n">
        <v>3</v>
      </c>
      <c r="AG35" s="3" t="n">
        <v>2</v>
      </c>
      <c r="AH35" s="3" t="n">
        <v>2</v>
      </c>
    </row>
    <row r="36" ht="18" customHeight="1">
      <c r="A36" s="15" t="inlineStr">
        <is>
          <t>Virudhunagar-2</t>
        </is>
      </c>
      <c r="B36" s="15" t="inlineStr">
        <is>
          <t>4.9★</t>
        </is>
      </c>
      <c r="C36" s="15" t="n">
        <v>1728</v>
      </c>
      <c r="D36" s="3">
        <f>SUM(E36:AH36)</f>
        <v/>
      </c>
      <c r="E36" s="3" t="n">
        <v>1</v>
      </c>
      <c r="F36" s="3" t="n">
        <v>13</v>
      </c>
      <c r="G36" s="3" t="n">
        <v>10</v>
      </c>
      <c r="H36" s="18" t="n">
        <v>7</v>
      </c>
      <c r="I36" s="18" t="n">
        <v>5</v>
      </c>
      <c r="J36" s="18" t="n">
        <v>3</v>
      </c>
      <c r="K36" s="3" t="n">
        <v>9</v>
      </c>
      <c r="L36" s="18" t="n">
        <v>10</v>
      </c>
      <c r="M36" s="3" t="n">
        <v>6</v>
      </c>
      <c r="N36" s="3" t="n">
        <v>5</v>
      </c>
      <c r="O36" s="18" t="n">
        <v>5</v>
      </c>
      <c r="P36" s="18" t="n">
        <v>4</v>
      </c>
      <c r="Q36" s="18" t="n">
        <v>8</v>
      </c>
      <c r="R36" s="18" t="n">
        <v>7</v>
      </c>
      <c r="S36" s="18" t="n">
        <v>5</v>
      </c>
      <c r="T36" s="3" t="n">
        <v>7</v>
      </c>
      <c r="U36" s="3" t="n">
        <v>4</v>
      </c>
      <c r="V36" s="18" t="n">
        <v>1</v>
      </c>
      <c r="W36" s="18" t="n">
        <v>6</v>
      </c>
      <c r="X36" s="18" t="n">
        <v>9</v>
      </c>
      <c r="Y36" s="18" t="n">
        <v>9</v>
      </c>
      <c r="Z36" s="18" t="n">
        <v>11</v>
      </c>
      <c r="AA36" s="18" t="n">
        <v>4</v>
      </c>
      <c r="AB36" s="18" t="n">
        <v>1</v>
      </c>
      <c r="AC36" s="3" t="n">
        <v>5</v>
      </c>
      <c r="AD36" s="18" t="n">
        <v>1</v>
      </c>
      <c r="AE36" s="3" t="n">
        <v>6</v>
      </c>
      <c r="AF36" s="3" t="n">
        <v>5</v>
      </c>
      <c r="AG36" s="3" t="n">
        <v>5</v>
      </c>
      <c r="AH36" s="3" t="n">
        <v>2</v>
      </c>
    </row>
    <row r="37" ht="18" customHeight="1">
      <c r="A37" s="15" t="inlineStr">
        <is>
          <t>Aruppukottai</t>
        </is>
      </c>
      <c r="B37" s="15" t="inlineStr">
        <is>
          <t>4.8★</t>
        </is>
      </c>
      <c r="C37" s="15" t="n">
        <v>2045</v>
      </c>
      <c r="D37" s="3">
        <f>SUM(E37:AH37)</f>
        <v/>
      </c>
      <c r="E37" s="3" t="n">
        <v>6</v>
      </c>
      <c r="F37" s="3" t="n">
        <v>2</v>
      </c>
      <c r="G37" s="3" t="n">
        <v>2</v>
      </c>
      <c r="H37" s="18" t="n">
        <v>5</v>
      </c>
      <c r="I37" s="18" t="n">
        <v>3</v>
      </c>
      <c r="J37" s="18" t="n">
        <v>3</v>
      </c>
      <c r="K37" s="3" t="n">
        <v>6</v>
      </c>
      <c r="L37" s="18" t="n">
        <v>3</v>
      </c>
      <c r="M37" s="3" t="n">
        <v>6</v>
      </c>
      <c r="N37" s="3" t="n">
        <v>3</v>
      </c>
      <c r="O37" s="18" t="n">
        <v>2</v>
      </c>
      <c r="P37" s="18" t="n">
        <v>1</v>
      </c>
      <c r="Q37" s="18" t="n">
        <v>5</v>
      </c>
      <c r="R37" s="18" t="n">
        <v>7</v>
      </c>
      <c r="S37" s="18" t="n">
        <v>6</v>
      </c>
      <c r="T37" s="3" t="n">
        <v>1</v>
      </c>
      <c r="U37" s="3" t="n">
        <v>5</v>
      </c>
      <c r="V37" s="18" t="n">
        <v>5</v>
      </c>
      <c r="W37" s="18" t="n">
        <v>4</v>
      </c>
      <c r="X37" s="18" t="n">
        <v>6</v>
      </c>
      <c r="Y37" s="18" t="n">
        <v>5</v>
      </c>
      <c r="Z37" s="18" t="n">
        <v>5</v>
      </c>
      <c r="AA37" s="18" t="n">
        <v>5</v>
      </c>
      <c r="AB37" s="18" t="n">
        <v>3</v>
      </c>
      <c r="AC37" s="3" t="n">
        <v>5</v>
      </c>
      <c r="AD37" s="18" t="n">
        <v>0</v>
      </c>
      <c r="AE37" s="3" t="n">
        <v>1</v>
      </c>
      <c r="AF37" s="3" t="n">
        <v>1</v>
      </c>
      <c r="AG37" s="3" t="n">
        <v>4</v>
      </c>
      <c r="AH37" s="3" t="n">
        <v>2</v>
      </c>
    </row>
    <row r="38" ht="18" customHeight="1">
      <c r="A38" s="15" t="inlineStr">
        <is>
          <t>Aruppukottai-2</t>
        </is>
      </c>
      <c r="B38" s="15" t="inlineStr">
        <is>
          <t>5★</t>
        </is>
      </c>
      <c r="C38" s="15" t="n">
        <v>958</v>
      </c>
      <c r="D38" s="3">
        <f>SUM(E38:AH38)</f>
        <v/>
      </c>
      <c r="E38" s="3" t="n">
        <v>7</v>
      </c>
      <c r="F38" s="3" t="n">
        <v>1</v>
      </c>
      <c r="G38" s="3" t="n">
        <v>7</v>
      </c>
      <c r="H38" s="18" t="n">
        <v>6</v>
      </c>
      <c r="I38" s="18" t="n">
        <v>4</v>
      </c>
      <c r="J38" s="18" t="n">
        <v>7</v>
      </c>
      <c r="K38" s="3" t="n">
        <v>5</v>
      </c>
      <c r="L38" s="18" t="n">
        <v>4</v>
      </c>
      <c r="M38" s="3" t="n">
        <v>4</v>
      </c>
      <c r="N38" s="3" t="n">
        <v>4</v>
      </c>
      <c r="O38" s="18" t="n">
        <v>4</v>
      </c>
      <c r="P38" s="18" t="n">
        <v>5</v>
      </c>
      <c r="Q38" s="18" t="n">
        <v>5</v>
      </c>
      <c r="R38" s="18" t="n">
        <v>3</v>
      </c>
      <c r="S38" s="18" t="n">
        <v>3</v>
      </c>
      <c r="T38" s="3" t="n">
        <v>6</v>
      </c>
      <c r="U38" s="3" t="n">
        <v>5</v>
      </c>
      <c r="V38" s="18" t="n">
        <v>1</v>
      </c>
      <c r="W38" s="18" t="n">
        <v>5</v>
      </c>
      <c r="X38" s="18" t="n">
        <v>2</v>
      </c>
      <c r="Y38" s="18" t="n">
        <v>1</v>
      </c>
      <c r="Z38" s="18" t="n">
        <v>6</v>
      </c>
      <c r="AA38" s="18" t="n">
        <v>3</v>
      </c>
      <c r="AB38" s="18" t="n">
        <v>1</v>
      </c>
      <c r="AC38" s="3" t="n">
        <v>7</v>
      </c>
      <c r="AD38" s="18" t="n">
        <v>0</v>
      </c>
      <c r="AE38" s="3" t="n">
        <v>3</v>
      </c>
      <c r="AF38" s="3" t="n">
        <v>2</v>
      </c>
      <c r="AG38" s="3" t="n">
        <v>10</v>
      </c>
      <c r="AH38" s="3" t="n">
        <v>2</v>
      </c>
    </row>
    <row r="39" ht="18" customHeight="1">
      <c r="A39" s="15" t="inlineStr">
        <is>
          <t>Sivakasi</t>
        </is>
      </c>
      <c r="B39" s="15" t="inlineStr">
        <is>
          <t>4.8★</t>
        </is>
      </c>
      <c r="C39" s="15" t="n">
        <v>1213</v>
      </c>
      <c r="D39" s="3">
        <f>SUM(E39:AH39)</f>
        <v/>
      </c>
      <c r="E39" s="3" t="n">
        <v>7</v>
      </c>
      <c r="F39" s="3" t="n">
        <v>4</v>
      </c>
      <c r="G39" s="3" t="n">
        <v>5</v>
      </c>
      <c r="H39" s="18" t="n">
        <v>2</v>
      </c>
      <c r="I39" s="18" t="n">
        <v>2</v>
      </c>
      <c r="J39" s="18" t="n">
        <v>1</v>
      </c>
      <c r="K39" s="3" t="n">
        <v>1</v>
      </c>
      <c r="L39" s="18" t="n">
        <v>2</v>
      </c>
      <c r="M39" s="3" t="n">
        <v>1</v>
      </c>
      <c r="N39" s="3" t="n">
        <v>2</v>
      </c>
      <c r="O39" s="18" t="n">
        <v>2</v>
      </c>
      <c r="P39" s="18" t="n">
        <v>1</v>
      </c>
      <c r="Q39" s="18" t="n">
        <v>0</v>
      </c>
      <c r="R39" s="18" t="n">
        <v>6</v>
      </c>
      <c r="S39" s="18" t="n">
        <v>1</v>
      </c>
      <c r="T39" s="3" t="n">
        <v>2</v>
      </c>
      <c r="U39" s="3" t="n">
        <v>5</v>
      </c>
      <c r="V39" s="18" t="n">
        <v>1</v>
      </c>
      <c r="W39" s="18" t="n">
        <v>0</v>
      </c>
      <c r="X39" s="18" t="n">
        <v>1</v>
      </c>
      <c r="Y39" s="18" t="n">
        <v>6</v>
      </c>
      <c r="Z39" s="18" t="n">
        <v>1</v>
      </c>
      <c r="AA39" s="18" t="n">
        <v>2</v>
      </c>
      <c r="AB39" s="18" t="n">
        <v>4</v>
      </c>
      <c r="AC39" s="3" t="n">
        <v>0</v>
      </c>
      <c r="AD39" s="18" t="n">
        <v>0</v>
      </c>
      <c r="AE39" s="3" t="n">
        <v>1</v>
      </c>
      <c r="AF39" s="3" t="n">
        <v>8</v>
      </c>
      <c r="AG39" s="3" t="n">
        <v>6</v>
      </c>
      <c r="AH39" s="3" t="n">
        <v>1</v>
      </c>
    </row>
    <row r="40" ht="9" customHeight="1"/>
    <row r="41">
      <c r="E41" s="19">
        <f>SUM(E4:E39)</f>
        <v/>
      </c>
      <c r="F41" s="19">
        <f>SUM(F4:F39)</f>
        <v/>
      </c>
      <c r="G41" s="19">
        <f>SUM(G4:G39)</f>
        <v/>
      </c>
      <c r="W41" s="19">
        <f>SUM(W4:W40)</f>
        <v/>
      </c>
      <c r="Z41" s="19">
        <f>SUM(Z4:Z40)</f>
        <v/>
      </c>
      <c r="AC41">
        <f>SUM(AC3:AC40)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50"/>
  <sheetViews>
    <sheetView tabSelected="1" topLeftCell="A15" workbookViewId="0">
      <selection activeCell="G29" sqref="G29"/>
    </sheetView>
  </sheetViews>
  <sheetFormatPr baseColWidth="8" defaultColWidth="9" defaultRowHeight="15.75"/>
  <cols>
    <col width="17.25" customWidth="1" min="1" max="1"/>
    <col width="15.75" customWidth="1" min="2" max="2"/>
    <col width="15.25" customWidth="1" min="3" max="3"/>
    <col width="17.125" customWidth="1" min="4" max="4"/>
    <col width="9.5" customWidth="1" min="5" max="5"/>
    <col width="16.25" customWidth="1" min="11" max="11"/>
  </cols>
  <sheetData>
    <row r="2" ht="1" customHeight="1"/>
    <row r="3" ht="41" customHeight="1">
      <c r="A3" s="1" t="inlineStr">
        <is>
          <t>Branch</t>
        </is>
      </c>
      <c r="B3" s="1" t="inlineStr">
        <is>
          <t>Star Rating</t>
        </is>
      </c>
      <c r="C3" s="1" t="inlineStr">
        <is>
          <t>Overall Reviews</t>
        </is>
      </c>
      <c r="D3" s="1" t="inlineStr">
        <is>
          <t>Monthly Reviews</t>
        </is>
      </c>
      <c r="E3" s="25">
        <f>MIN(TODAY()-1,EOMONTH(TODAY(),0))</f>
        <v/>
      </c>
      <c r="K3" s="11" t="inlineStr">
        <is>
          <t>Google Reviews Daily Target</t>
        </is>
      </c>
    </row>
    <row r="4" ht="18.75" customHeight="1">
      <c r="A4" s="3" t="inlineStr">
        <is>
          <t>Thenkasi-2</t>
        </is>
      </c>
      <c r="B4" s="3" t="inlineStr">
        <is>
          <t>5★</t>
        </is>
      </c>
      <c r="C4" s="3" t="n">
        <v>3949</v>
      </c>
      <c r="D4" s="3" t="n">
        <v>173</v>
      </c>
      <c r="E4" s="3" t="n">
        <v>31</v>
      </c>
      <c r="K4" s="12" t="inlineStr">
        <is>
          <t>BRANCH</t>
        </is>
      </c>
      <c r="L4" s="12" t="inlineStr">
        <is>
          <t>TARGET</t>
        </is>
      </c>
    </row>
    <row r="5">
      <c r="A5" s="3" t="inlineStr">
        <is>
          <t>Nagercoil</t>
        </is>
      </c>
      <c r="B5" s="3" t="inlineStr">
        <is>
          <t>4.7★</t>
        </is>
      </c>
      <c r="C5" s="3" t="n">
        <v>3142</v>
      </c>
      <c r="D5" s="3" t="n">
        <v>192</v>
      </c>
      <c r="E5" s="3" t="n">
        <v>26</v>
      </c>
      <c r="K5" s="13" t="inlineStr">
        <is>
          <t>Tuticorin-1</t>
        </is>
      </c>
      <c r="L5" s="13" t="n">
        <v>25</v>
      </c>
    </row>
    <row r="6">
      <c r="A6" s="3" t="inlineStr">
        <is>
          <t>Thenkasi</t>
        </is>
      </c>
      <c r="B6" s="3" t="inlineStr">
        <is>
          <t>4.9★</t>
        </is>
      </c>
      <c r="C6" s="3" t="n">
        <v>6137</v>
      </c>
      <c r="D6" s="3" t="n">
        <v>176</v>
      </c>
      <c r="E6" s="3" t="n">
        <v>23</v>
      </c>
      <c r="K6" s="13" t="inlineStr">
        <is>
          <t>Tirunelveli-1</t>
        </is>
      </c>
      <c r="L6" s="13" t="n">
        <v>25</v>
      </c>
    </row>
    <row r="7">
      <c r="A7" s="3" t="inlineStr">
        <is>
          <t>Kovilpatti</t>
        </is>
      </c>
      <c r="B7" s="3" t="inlineStr">
        <is>
          <t>4.6★</t>
        </is>
      </c>
      <c r="C7" s="3" t="n">
        <v>2452</v>
      </c>
      <c r="D7" s="3" t="n">
        <v>243</v>
      </c>
      <c r="E7" s="3" t="n">
        <v>21</v>
      </c>
      <c r="K7" s="13" t="inlineStr">
        <is>
          <t>Thenkasi</t>
        </is>
      </c>
      <c r="L7" s="13" t="n">
        <v>20</v>
      </c>
    </row>
    <row r="8">
      <c r="A8" s="3" t="inlineStr">
        <is>
          <t>Tuticorin-1</t>
        </is>
      </c>
      <c r="B8" s="3" t="inlineStr">
        <is>
          <t>4.9★</t>
        </is>
      </c>
      <c r="C8" s="3" t="n">
        <v>7064</v>
      </c>
      <c r="D8" s="3" t="n">
        <v>528</v>
      </c>
      <c r="E8" s="3" t="n">
        <v>16</v>
      </c>
      <c r="K8" s="13" t="inlineStr">
        <is>
          <t>Thenkasi-2</t>
        </is>
      </c>
      <c r="L8" s="13" t="n">
        <v>15</v>
      </c>
    </row>
    <row r="9">
      <c r="A9" s="3" t="inlineStr">
        <is>
          <t>Ambasamudram-1</t>
        </is>
      </c>
      <c r="B9" s="3" t="inlineStr">
        <is>
          <t>4.9★</t>
        </is>
      </c>
      <c r="C9" s="3" t="n">
        <v>922</v>
      </c>
      <c r="D9" s="3" t="n">
        <v>126</v>
      </c>
      <c r="E9" s="3" t="n">
        <v>16</v>
      </c>
      <c r="K9" s="13" t="inlineStr">
        <is>
          <t>Kovilpatti</t>
        </is>
      </c>
      <c r="L9" s="13" t="n">
        <v>15</v>
      </c>
    </row>
    <row r="10">
      <c r="A10" s="3" t="inlineStr">
        <is>
          <t>Villathikullam</t>
        </is>
      </c>
      <c r="B10" s="3" t="inlineStr">
        <is>
          <t>4.8★</t>
        </is>
      </c>
      <c r="C10" s="3" t="n">
        <v>612</v>
      </c>
      <c r="D10" s="3" t="n">
        <v>51</v>
      </c>
      <c r="E10" s="3" t="n">
        <v>12</v>
      </c>
      <c r="K10" s="13" t="inlineStr">
        <is>
          <t>Nagercoil</t>
        </is>
      </c>
      <c r="L10" s="13" t="n">
        <v>15</v>
      </c>
    </row>
    <row r="11">
      <c r="A11" s="3" t="inlineStr">
        <is>
          <t>Sankarankovil-1</t>
        </is>
      </c>
      <c r="B11" s="3" t="inlineStr">
        <is>
          <t>4.9★</t>
        </is>
      </c>
      <c r="C11" s="3" t="n">
        <v>1010</v>
      </c>
      <c r="D11" s="3" t="n">
        <v>73</v>
      </c>
      <c r="E11" s="3" t="n">
        <v>12</v>
      </c>
      <c r="K11" s="13" t="inlineStr">
        <is>
          <t>Tuticorin-2</t>
        </is>
      </c>
      <c r="L11" s="13" t="n">
        <v>15</v>
      </c>
    </row>
    <row r="12">
      <c r="A12" s="3" t="inlineStr">
        <is>
          <t>Valliyur-1</t>
        </is>
      </c>
      <c r="B12" s="3" t="inlineStr">
        <is>
          <t>4.8★</t>
        </is>
      </c>
      <c r="C12" s="3" t="n">
        <v>1170</v>
      </c>
      <c r="D12" s="3" t="n">
        <v>95</v>
      </c>
      <c r="E12" s="3" t="n">
        <v>11</v>
      </c>
      <c r="K12" s="13" t="inlineStr">
        <is>
          <t>Virudhunagar</t>
        </is>
      </c>
      <c r="L12" s="13" t="n">
        <v>15</v>
      </c>
    </row>
    <row r="13">
      <c r="A13" s="3" t="inlineStr">
        <is>
          <t>Karungal-1</t>
        </is>
      </c>
      <c r="B13" s="3" t="inlineStr">
        <is>
          <t>4.9★</t>
        </is>
      </c>
      <c r="C13" s="3" t="n">
        <v>751</v>
      </c>
      <c r="D13" s="3" t="n">
        <v>107</v>
      </c>
      <c r="E13" s="3" t="n">
        <v>11</v>
      </c>
      <c r="K13" s="13" t="inlineStr">
        <is>
          <t>Surandai-1</t>
        </is>
      </c>
      <c r="L13" s="13" t="n">
        <v>10</v>
      </c>
    </row>
    <row r="14">
      <c r="A14" s="3" t="inlineStr">
        <is>
          <t>Tirunelveli-1</t>
        </is>
      </c>
      <c r="B14" s="3" t="inlineStr">
        <is>
          <t>4.8★</t>
        </is>
      </c>
      <c r="C14" s="3" t="n">
        <v>4292</v>
      </c>
      <c r="D14" s="3" t="n">
        <v>351</v>
      </c>
      <c r="E14" s="3" t="n">
        <v>10</v>
      </c>
      <c r="K14" s="13" t="inlineStr">
        <is>
          <t>Virudhunagar-2</t>
        </is>
      </c>
      <c r="L14" s="13" t="n">
        <v>10</v>
      </c>
    </row>
    <row r="15">
      <c r="A15" s="3" t="inlineStr">
        <is>
          <t>Aruppukottai-2</t>
        </is>
      </c>
      <c r="B15" s="3" t="inlineStr">
        <is>
          <t>5★</t>
        </is>
      </c>
      <c r="C15" s="3" t="n">
        <v>958</v>
      </c>
      <c r="D15" s="3" t="n">
        <v>121</v>
      </c>
      <c r="E15" s="3" t="n">
        <v>10</v>
      </c>
      <c r="K15" s="13" t="inlineStr">
        <is>
          <t>Rajapalayam</t>
        </is>
      </c>
      <c r="L15" s="13" t="n">
        <v>10</v>
      </c>
    </row>
    <row r="16">
      <c r="A16" s="3" t="inlineStr">
        <is>
          <t>Tuticorin-2</t>
        </is>
      </c>
      <c r="B16" s="3" t="inlineStr">
        <is>
          <t>4.8★</t>
        </is>
      </c>
      <c r="C16" s="3" t="n">
        <v>6386</v>
      </c>
      <c r="D16" s="3" t="n">
        <v>243</v>
      </c>
      <c r="E16" s="3" t="n">
        <v>8</v>
      </c>
      <c r="K16" s="13" t="inlineStr">
        <is>
          <t>Ambasamudram-1</t>
        </is>
      </c>
      <c r="L16" s="13" t="n">
        <v>10</v>
      </c>
    </row>
    <row r="17">
      <c r="A17" s="3" t="inlineStr">
        <is>
          <t>Udankudi</t>
        </is>
      </c>
      <c r="B17" s="3" t="inlineStr">
        <is>
          <t>4.9★</t>
        </is>
      </c>
      <c r="C17" s="3" t="n">
        <v>2009</v>
      </c>
      <c r="D17" s="3" t="n">
        <v>102</v>
      </c>
      <c r="E17" s="3" t="n">
        <v>8</v>
      </c>
      <c r="K17" s="13" t="inlineStr">
        <is>
          <t>Aruppukottai</t>
        </is>
      </c>
      <c r="L17" s="13" t="n">
        <v>10</v>
      </c>
    </row>
    <row r="18">
      <c r="A18" s="3" t="inlineStr">
        <is>
          <t>Anjugramam-1</t>
        </is>
      </c>
      <c r="B18" s="3" t="inlineStr">
        <is>
          <t>4.9★</t>
        </is>
      </c>
      <c r="C18" s="3" t="n">
        <v>725</v>
      </c>
      <c r="D18" s="3" t="n">
        <v>94</v>
      </c>
      <c r="E18" s="3" t="n">
        <v>7</v>
      </c>
      <c r="K18" s="13" t="inlineStr">
        <is>
          <t>Sayalkudi-1</t>
        </is>
      </c>
      <c r="L18" s="13" t="n">
        <v>7</v>
      </c>
    </row>
    <row r="19">
      <c r="A19" s="3" t="inlineStr">
        <is>
          <t>Kulasekharam-1</t>
        </is>
      </c>
      <c r="B19" s="3" t="inlineStr">
        <is>
          <t>4.9★</t>
        </is>
      </c>
      <c r="C19" s="3" t="n">
        <v>423</v>
      </c>
      <c r="D19" s="3" t="n">
        <v>92</v>
      </c>
      <c r="E19" s="3" t="n">
        <v>7</v>
      </c>
      <c r="K19" s="13" t="inlineStr">
        <is>
          <t>Ramnad</t>
        </is>
      </c>
      <c r="L19" s="13" t="n">
        <v>7</v>
      </c>
    </row>
    <row r="20">
      <c r="A20" s="3" t="inlineStr">
        <is>
          <t>Surandai-1</t>
        </is>
      </c>
      <c r="B20" s="3" t="inlineStr">
        <is>
          <t>4.9★</t>
        </is>
      </c>
      <c r="C20" s="3" t="n">
        <v>2249</v>
      </c>
      <c r="D20" s="3" t="n">
        <v>164</v>
      </c>
      <c r="E20" s="3" t="n">
        <v>7</v>
      </c>
      <c r="K20" s="13" t="inlineStr">
        <is>
          <t>Sivakasi</t>
        </is>
      </c>
      <c r="L20" s="13" t="n">
        <v>5</v>
      </c>
    </row>
    <row r="21">
      <c r="A21" s="3" t="inlineStr">
        <is>
          <t>Eral-2</t>
        </is>
      </c>
      <c r="B21" s="3" t="inlineStr">
        <is>
          <t>4.9★</t>
        </is>
      </c>
      <c r="C21" s="3" t="n">
        <v>1111</v>
      </c>
      <c r="D21" s="3" t="n">
        <v>84</v>
      </c>
      <c r="E21" s="3" t="n">
        <v>6</v>
      </c>
      <c r="K21" s="13" t="inlineStr">
        <is>
          <t>Marthandam</t>
        </is>
      </c>
      <c r="L21" s="13" t="n">
        <v>5</v>
      </c>
    </row>
    <row r="22">
      <c r="A22" s="3" t="inlineStr">
        <is>
          <t>Monday Market</t>
        </is>
      </c>
      <c r="B22" s="3" t="inlineStr">
        <is>
          <t>4.9★</t>
        </is>
      </c>
      <c r="C22" s="3" t="n">
        <v>347</v>
      </c>
      <c r="D22" s="3" t="n">
        <v>53</v>
      </c>
      <c r="E22" s="3" t="n">
        <v>6</v>
      </c>
      <c r="K22" s="13" t="inlineStr">
        <is>
          <t>Thiruchendur-1</t>
        </is>
      </c>
      <c r="L22" s="13" t="n">
        <v>5</v>
      </c>
    </row>
    <row r="23">
      <c r="A23" s="3" t="inlineStr">
        <is>
          <t>Ramnad</t>
        </is>
      </c>
      <c r="B23" s="3" t="inlineStr">
        <is>
          <t>4.8★</t>
        </is>
      </c>
      <c r="C23" s="3" t="n">
        <v>2397</v>
      </c>
      <c r="D23" s="3" t="n">
        <v>186</v>
      </c>
      <c r="E23" s="3" t="n">
        <v>6</v>
      </c>
      <c r="K23" s="13" t="inlineStr">
        <is>
          <t>Sankarankovil-1</t>
        </is>
      </c>
      <c r="L23" s="13" t="n">
        <v>5</v>
      </c>
    </row>
    <row r="24">
      <c r="A24" s="3" t="inlineStr">
        <is>
          <t>Paramakudi</t>
        </is>
      </c>
      <c r="B24" s="3" t="inlineStr">
        <is>
          <t>4.9★</t>
        </is>
      </c>
      <c r="C24" s="3" t="n">
        <v>1152</v>
      </c>
      <c r="D24" s="3" t="n">
        <v>118</v>
      </c>
      <c r="E24" s="3" t="n">
        <v>6</v>
      </c>
      <c r="K24" s="13" t="inlineStr">
        <is>
          <t>Aruppukottai -2</t>
        </is>
      </c>
      <c r="L24" s="13" t="n">
        <v>5</v>
      </c>
    </row>
    <row r="25">
      <c r="A25" s="3" t="inlineStr">
        <is>
          <t>Sayalkudi-1</t>
        </is>
      </c>
      <c r="B25" s="3" t="inlineStr">
        <is>
          <t>4.9★</t>
        </is>
      </c>
      <c r="C25" s="3" t="n">
        <v>667</v>
      </c>
      <c r="D25" s="3" t="n">
        <v>103</v>
      </c>
      <c r="E25" s="3" t="n">
        <v>6</v>
      </c>
      <c r="K25" s="13" t="inlineStr">
        <is>
          <t>Monday Market</t>
        </is>
      </c>
      <c r="L25" s="13" t="n">
        <v>5</v>
      </c>
    </row>
    <row r="26">
      <c r="A26" s="3" t="inlineStr">
        <is>
          <t>Kayathar-1</t>
        </is>
      </c>
      <c r="B26" s="3" t="inlineStr">
        <is>
          <t>5★</t>
        </is>
      </c>
      <c r="C26" s="3" t="n">
        <v>991</v>
      </c>
      <c r="D26" s="3" t="n">
        <v>100</v>
      </c>
      <c r="E26" s="3" t="n">
        <v>6</v>
      </c>
      <c r="K26" s="13" t="inlineStr">
        <is>
          <t>Puliyankudi-1</t>
        </is>
      </c>
      <c r="L26" s="13" t="n">
        <v>5</v>
      </c>
    </row>
    <row r="27">
      <c r="A27" s="3" t="inlineStr">
        <is>
          <t>Sivakasi</t>
        </is>
      </c>
      <c r="B27" s="3" t="inlineStr">
        <is>
          <t>4.8★</t>
        </is>
      </c>
      <c r="C27" s="3" t="n">
        <v>1213</v>
      </c>
      <c r="D27" s="3" t="n">
        <v>74</v>
      </c>
      <c r="E27" s="3" t="n">
        <v>6</v>
      </c>
      <c r="K27" s="13" t="inlineStr">
        <is>
          <t>Valliyur-1</t>
        </is>
      </c>
      <c r="L27" s="13" t="n">
        <v>5</v>
      </c>
    </row>
    <row r="28">
      <c r="A28" s="3" t="inlineStr">
        <is>
          <t>Colachel-1</t>
        </is>
      </c>
      <c r="B28" s="3" t="inlineStr">
        <is>
          <t>4.9★</t>
        </is>
      </c>
      <c r="C28" s="3" t="n">
        <v>286</v>
      </c>
      <c r="D28" s="3" t="n">
        <v>54</v>
      </c>
      <c r="E28" s="3" t="n">
        <v>5</v>
      </c>
      <c r="K28" s="13" t="inlineStr">
        <is>
          <t>Thuckalay-1</t>
        </is>
      </c>
      <c r="L28" s="13" t="n">
        <v>5</v>
      </c>
    </row>
    <row r="29">
      <c r="A29" s="3" t="inlineStr">
        <is>
          <t>Sattur-2</t>
        </is>
      </c>
      <c r="B29" s="3" t="inlineStr">
        <is>
          <t>4.8★</t>
        </is>
      </c>
      <c r="C29" s="3" t="n">
        <v>971</v>
      </c>
      <c r="D29" s="3" t="n">
        <v>92</v>
      </c>
      <c r="E29" s="3" t="n">
        <v>5</v>
      </c>
      <c r="K29" s="13" t="inlineStr">
        <is>
          <t>Paramakudi</t>
        </is>
      </c>
      <c r="L29" s="13" t="n">
        <v>5</v>
      </c>
    </row>
    <row r="30">
      <c r="A30" s="3" t="inlineStr">
        <is>
          <t>Virudhunagar-2</t>
        </is>
      </c>
      <c r="B30" s="3" t="inlineStr">
        <is>
          <t>4.9★</t>
        </is>
      </c>
      <c r="C30" s="3" t="n">
        <v>1728</v>
      </c>
      <c r="D30" s="3" t="n">
        <v>172</v>
      </c>
      <c r="E30" s="3" t="n">
        <v>5</v>
      </c>
      <c r="K30" s="13" t="inlineStr">
        <is>
          <t>Udankudi</t>
        </is>
      </c>
      <c r="L30" s="13" t="n">
        <v>5</v>
      </c>
    </row>
    <row r="31">
      <c r="A31" s="3" t="inlineStr">
        <is>
          <t>Aruppukottai</t>
        </is>
      </c>
      <c r="B31" s="3" t="inlineStr">
        <is>
          <t>4.8★</t>
        </is>
      </c>
      <c r="C31" s="3" t="n">
        <v>2045</v>
      </c>
      <c r="D31" s="3" t="n">
        <v>110</v>
      </c>
      <c r="E31" s="3" t="n">
        <v>4</v>
      </c>
      <c r="K31" s="13" t="inlineStr">
        <is>
          <t>Eral-2</t>
        </is>
      </c>
      <c r="L31" s="13" t="n">
        <v>5</v>
      </c>
    </row>
    <row r="32">
      <c r="A32" s="3" t="inlineStr">
        <is>
          <t>Thiruchendur-1</t>
        </is>
      </c>
      <c r="B32" s="3" t="inlineStr">
        <is>
          <t>4.9★</t>
        </is>
      </c>
      <c r="C32" s="3" t="n">
        <v>1250</v>
      </c>
      <c r="D32" s="3" t="n">
        <v>89</v>
      </c>
      <c r="E32" s="3" t="n">
        <v>3</v>
      </c>
      <c r="K32" s="13" t="inlineStr">
        <is>
          <t>Colachel-1</t>
        </is>
      </c>
      <c r="L32" s="13" t="n">
        <v>5</v>
      </c>
    </row>
    <row r="33">
      <c r="A33" s="3" t="inlineStr">
        <is>
          <t>Thisayanvilai-1</t>
        </is>
      </c>
      <c r="B33" s="3" t="inlineStr">
        <is>
          <t>5★</t>
        </is>
      </c>
      <c r="C33" s="3" t="n">
        <v>397</v>
      </c>
      <c r="D33" s="3" t="n">
        <v>90</v>
      </c>
      <c r="E33" s="3" t="n">
        <v>2</v>
      </c>
      <c r="K33" s="13" t="inlineStr">
        <is>
          <t>Thisayanvilai-1</t>
        </is>
      </c>
      <c r="L33" s="13" t="n">
        <v>5</v>
      </c>
    </row>
    <row r="34">
      <c r="A34" s="3" t="inlineStr">
        <is>
          <t>Marthandam</t>
        </is>
      </c>
      <c r="B34" s="3" t="inlineStr">
        <is>
          <t>4.7★</t>
        </is>
      </c>
      <c r="C34" s="3" t="n">
        <v>1131</v>
      </c>
      <c r="D34" s="3" t="n">
        <v>119</v>
      </c>
      <c r="E34" s="3" t="n">
        <v>2</v>
      </c>
      <c r="K34" s="13" t="inlineStr">
        <is>
          <t>Kulasekharam-1</t>
        </is>
      </c>
      <c r="L34" s="13" t="n">
        <v>5</v>
      </c>
    </row>
    <row r="35">
      <c r="A35" s="3" t="inlineStr">
        <is>
          <t>Puliyankudi-1</t>
        </is>
      </c>
      <c r="B35" s="3" t="inlineStr">
        <is>
          <t>4.9★</t>
        </is>
      </c>
      <c r="C35" s="3" t="n">
        <v>1012</v>
      </c>
      <c r="D35" s="3" t="n">
        <v>67</v>
      </c>
      <c r="E35" s="3" t="n">
        <v>2</v>
      </c>
      <c r="K35" s="13" t="inlineStr">
        <is>
          <t>Villathikullam</t>
        </is>
      </c>
      <c r="L35" s="13" t="n">
        <v>5</v>
      </c>
    </row>
    <row r="36">
      <c r="A36" s="3" t="inlineStr">
        <is>
          <t>Rajapalayam</t>
        </is>
      </c>
      <c r="B36" s="3" t="inlineStr">
        <is>
          <t>4.8★</t>
        </is>
      </c>
      <c r="C36" s="3" t="n">
        <v>2096</v>
      </c>
      <c r="D36" s="3" t="n">
        <v>165</v>
      </c>
      <c r="E36" s="3" t="n">
        <v>2</v>
      </c>
      <c r="K36" s="13" t="inlineStr">
        <is>
          <t>Kayathar-1</t>
        </is>
      </c>
      <c r="L36" s="13" t="n">
        <v>5</v>
      </c>
    </row>
    <row r="37">
      <c r="A37" s="3" t="inlineStr">
        <is>
          <t>Virudhunagar</t>
        </is>
      </c>
      <c r="B37" s="3" t="inlineStr">
        <is>
          <t>4.8★</t>
        </is>
      </c>
      <c r="C37" s="3" t="n">
        <v>2124</v>
      </c>
      <c r="D37" s="3" t="n">
        <v>52</v>
      </c>
      <c r="E37" s="3" t="n">
        <v>2</v>
      </c>
      <c r="K37" s="13" t="inlineStr">
        <is>
          <t>Anjugramam-1</t>
        </is>
      </c>
      <c r="L37" s="13" t="n">
        <v>5</v>
      </c>
    </row>
    <row r="38">
      <c r="A38" s="3" t="inlineStr">
        <is>
          <t>Thuckalay-1</t>
        </is>
      </c>
      <c r="B38" s="3" t="inlineStr">
        <is>
          <t>4.7★</t>
        </is>
      </c>
      <c r="C38" s="3" t="n">
        <v>1118</v>
      </c>
      <c r="D38" s="3" t="n">
        <v>90</v>
      </c>
      <c r="E38" s="3" t="n">
        <v>1</v>
      </c>
      <c r="K38" s="13" t="inlineStr">
        <is>
          <t>Sattur-2</t>
        </is>
      </c>
      <c r="L38" s="13" t="n">
        <v>5</v>
      </c>
    </row>
    <row r="39">
      <c r="A39" s="3" t="inlineStr">
        <is>
          <t>Sengottai-1</t>
        </is>
      </c>
      <c r="B39" s="3" t="inlineStr">
        <is>
          <t>5★</t>
        </is>
      </c>
      <c r="C39" s="3" t="n">
        <v>710</v>
      </c>
      <c r="D39" s="3" t="n">
        <v>57</v>
      </c>
      <c r="E39" s="3" t="n">
        <v>1</v>
      </c>
      <c r="K39" s="13" t="inlineStr">
        <is>
          <t>Sengottai-1</t>
        </is>
      </c>
      <c r="L39" s="13" t="n">
        <v>5</v>
      </c>
    </row>
    <row r="40" ht="4" customHeight="1">
      <c r="A40" s="3" t="n"/>
      <c r="B40" s="3" t="n"/>
      <c r="C40" s="4" t="n"/>
      <c r="D40" s="4" t="n"/>
      <c r="E40" s="10" t="n"/>
      <c r="K40" s="13" t="inlineStr">
        <is>
          <t>Karungal-1</t>
        </is>
      </c>
      <c r="L40" s="13" t="n">
        <v>5</v>
      </c>
    </row>
    <row r="41" ht="18.75" customHeight="1">
      <c r="A41" s="3" t="inlineStr">
        <is>
          <t>Total</t>
        </is>
      </c>
      <c r="B41" s="3">
        <f>VALUE(SUBSTITUTE(B4,"★",""))</f>
        <v/>
      </c>
      <c r="C41" s="4">
        <f>SUM(C4:C39)</f>
        <v/>
      </c>
      <c r="D41" s="4">
        <f>SUM(D4:D39)</f>
        <v/>
      </c>
      <c r="E41" s="10">
        <f>SUM(E4:E39)</f>
        <v/>
      </c>
      <c r="K41" s="14" t="n"/>
      <c r="L41" s="14" t="n"/>
    </row>
    <row r="42" ht="27" customHeight="1">
      <c r="A42" s="5" t="inlineStr">
        <is>
          <t>Region</t>
        </is>
      </c>
      <c r="B42" s="6" t="inlineStr">
        <is>
          <t>Monthly Total</t>
        </is>
      </c>
      <c r="K42" s="12" t="inlineStr">
        <is>
          <t>Total</t>
        </is>
      </c>
      <c r="L42" s="12">
        <f>SUM(L5:L40)</f>
        <v/>
      </c>
    </row>
    <row r="43" ht="17.25" customHeight="1">
      <c r="A43" s="7" t="inlineStr">
        <is>
          <t>Tuticorin</t>
        </is>
      </c>
      <c r="B43" s="7">
        <f>SUMIF($A$4:$A$39,"Tuticorin-1",$D$4:$D$39)+SUMIF($A$4:$A$39,"Tuticorin-2",$D$4:$D$39)+SUMIF($A$4:$A$39,"Thiruchendur-1",$D$4:$D$39)+SUMIF($A$4:$A$39,"Thisayanvilai-1",$D$4:$D$39)+SUMIF($A$4:$A$39,"Eral-2",$D$4:$D$39)+SUMIF($A$4:$A$39,"Udankudi",$D$4:$D$39)</f>
        <v/>
      </c>
    </row>
    <row r="44" ht="17.25" customHeight="1">
      <c r="A44" s="7" t="inlineStr">
        <is>
          <t>KVT1</t>
        </is>
      </c>
      <c r="B44" s="7">
        <f>SUMIF($A$4:$A$39,"Kovilpatti",$D$4:$D$39)+SUMIF($A$4:$A$39,"Ramnad",$D$4:$D$39)+SUMIF($A$4:$A$39,"Paramakudi",$D$4:$D$39)+SUMIF($A$4:$A$39,"Sayalkudi-1",$D$4:$D$39)+SUMIF($A$4:$A$39,"Villathikullam",$D$4:$D$39)+SUMIF($A$4:$A$39,"Sattur-2",$D$4:$D$39)+SUMIF($A$4:$A$39,"Sankarankovil-1",$D$4:$D$39)+SUMIF($A$4:$A$39,"Kayathar-1",$D$4:$D$39)</f>
        <v/>
      </c>
    </row>
    <row r="45" ht="17.25" customHeight="1">
      <c r="A45" s="7" t="inlineStr">
        <is>
          <t>TKS1</t>
        </is>
      </c>
      <c r="B45" s="7">
        <f>SUMIF($A$4:$A$39,"Thenkasi",$D$4:$D$39)+SUMIF($A$4:$A$39,"Thenkasi-2",$D$4:$D$39)+SUMIF($A$4:$A$39,"Surandai-1",$D$4:$D$39)+SUMIF($A$4:$A$39,"Puliyankudi-1",$D$4:$D$39)+SUMIF($A$4:$A$39,"Sengottai-1",$D$4:$D$39)+SUMIF($A$4:$A$39,"Rajapalayam",$D$4:$D$39)</f>
        <v/>
      </c>
    </row>
    <row r="46" ht="17.25" customHeight="1">
      <c r="A46" s="7" t="inlineStr">
        <is>
          <t>NGR1</t>
        </is>
      </c>
      <c r="B46" s="7">
        <f>SUMIF($A$4:$A$39,"Nagercoil",$D$4:$D$39)+SUMIF($A$4:$A$39,"Marthandam",$D$4:$D$39)+SUMIF($A$4:$A$39,"Thuckalay-1",$D$4:$D$39)+SUMIF($A$4:$A$39,"Colachel-1",$D$4:$D$39)+SUMIF($A$4:$A$39,"Kulasekharam-1",$D$4:$D$39)+SUMIF($A$4:$A$39,"Monday Market",$D$4:$D$39)+SUMIF($A$4:$A$39,"Karungal-1",$D$4:$D$39)</f>
        <v/>
      </c>
    </row>
    <row r="47" ht="17.25" customHeight="1">
      <c r="A47" s="7" t="inlineStr">
        <is>
          <t>Tirunelveli</t>
        </is>
      </c>
      <c r="B47" s="7">
        <f>SUMIF($A$4:$A$39,"Tirunelveli-1",$D$4:$D$39)+SUMIF($A$4:$A$39,"Valliyur-1",$D$4:$D$39)+SUMIF($A$4:$A$39,"Ambasamudram-1",$D$4:$D$39)+SUMIF($A$4:$A$39,"Anjugramam-1",$D$4:$D$39)</f>
        <v/>
      </c>
    </row>
    <row r="48" ht="17.25" customHeight="1">
      <c r="A48" s="7" t="inlineStr">
        <is>
          <t>VNR1</t>
        </is>
      </c>
      <c r="B48" s="7">
        <f>SUMIF($A$4:$A$39,"Virudhunagar",$D$4:$D$39)+SUMIF($A$4:$A$39,"Virudhunagar-2",$D$4:$D$39)+SUMIF($A$4:$A$39,"Aruppukottai",$D$4:$D$39)+SUMIF($A$4:$A$39,"Aruppukottai-2",$D$4:$D$39)+SUMIF($A$4:$A$39,"Sivakasi",$D$4:$D$39)</f>
        <v/>
      </c>
    </row>
    <row r="49" ht="3" customHeight="1">
      <c r="A49" s="7" t="n"/>
      <c r="B49" s="26" t="n"/>
    </row>
    <row r="50" ht="17.25" customHeight="1">
      <c r="A50" s="7" t="inlineStr">
        <is>
          <t>Total</t>
        </is>
      </c>
      <c r="B50" s="7">
        <f>SUM(B43:B48)</f>
        <v/>
      </c>
    </row>
    <row r="51" ht="16.5" customHeight="1"/>
  </sheetData>
  <mergeCells count="1">
    <mergeCell ref="K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2026-06-16T11:36:00Z</dcterms:created>
  <dcterms:modified xsi:type="dcterms:W3CDTF">2026-07-01T05:25:50Z</dcterms:modified>
  <cp:lastModifiedBy>rocklin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/>
  </property>
  <property name="KSOProductBuildVer" fmtid="{D5CDD505-2E9C-101B-9397-08002B2CF9AE}" pid="3">
    <vt:lpwstr>1033-11.1.0.11723</vt:lpwstr>
  </property>
</Properties>
</file>